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SUS\Downloads\chrome\"/>
    </mc:Choice>
  </mc:AlternateContent>
  <xr:revisionPtr revIDLastSave="0" documentId="13_ncr:1_{30AFB542-850A-40CF-9E77-82829EDE181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ingkasan MAE" sheetId="1" r:id="rId1"/>
    <sheet name="Pengujian 0 cm" sheetId="2" r:id="rId2"/>
    <sheet name="Pengujian 10 cm" sheetId="3" r:id="rId3"/>
    <sheet name="Pengujian 5 cm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1" i="1" l="1"/>
  <c r="D6" i="1"/>
  <c r="E14" i="4"/>
  <c r="F14" i="4" s="1"/>
  <c r="D14" i="4"/>
  <c r="D13" i="4"/>
  <c r="E13" i="4" s="1"/>
  <c r="F13" i="4" s="1"/>
  <c r="D12" i="4"/>
  <c r="E12" i="4" s="1"/>
  <c r="F12" i="4" s="1"/>
  <c r="D11" i="4"/>
  <c r="E11" i="4" s="1"/>
  <c r="F11" i="4" s="1"/>
  <c r="F10" i="4"/>
  <c r="E10" i="4"/>
  <c r="D10" i="4"/>
  <c r="D9" i="4"/>
  <c r="E9" i="4" s="1"/>
  <c r="F9" i="4" s="1"/>
  <c r="D8" i="4"/>
  <c r="E8" i="4" s="1"/>
  <c r="F8" i="4" s="1"/>
  <c r="D7" i="4"/>
  <c r="E7" i="4" s="1"/>
  <c r="F7" i="4" s="1"/>
  <c r="F6" i="4"/>
  <c r="E6" i="4"/>
  <c r="D6" i="4"/>
  <c r="D5" i="4"/>
  <c r="B24" i="4" s="1"/>
  <c r="D14" i="3"/>
  <c r="E14" i="3" s="1"/>
  <c r="F14" i="3" s="1"/>
  <c r="D13" i="3"/>
  <c r="E13" i="3" s="1"/>
  <c r="F13" i="3" s="1"/>
  <c r="E12" i="3"/>
  <c r="F12" i="3" s="1"/>
  <c r="D12" i="3"/>
  <c r="D11" i="3"/>
  <c r="E11" i="3" s="1"/>
  <c r="F11" i="3" s="1"/>
  <c r="D10" i="3"/>
  <c r="E10" i="3" s="1"/>
  <c r="F10" i="3" s="1"/>
  <c r="D9" i="3"/>
  <c r="E9" i="3" s="1"/>
  <c r="F9" i="3" s="1"/>
  <c r="D8" i="3"/>
  <c r="E8" i="3" s="1"/>
  <c r="F8" i="3" s="1"/>
  <c r="D7" i="3"/>
  <c r="E7" i="3" s="1"/>
  <c r="F7" i="3" s="1"/>
  <c r="D6" i="3"/>
  <c r="E6" i="3" s="1"/>
  <c r="F6" i="3" s="1"/>
  <c r="D5" i="3"/>
  <c r="B24" i="3" s="1"/>
  <c r="E14" i="2"/>
  <c r="F14" i="2" s="1"/>
  <c r="D14" i="2"/>
  <c r="F13" i="2"/>
  <c r="E13" i="2"/>
  <c r="D13" i="2"/>
  <c r="E12" i="2"/>
  <c r="F12" i="2" s="1"/>
  <c r="D12" i="2"/>
  <c r="E11" i="2"/>
  <c r="F11" i="2" s="1"/>
  <c r="D11" i="2"/>
  <c r="E10" i="2"/>
  <c r="F10" i="2" s="1"/>
  <c r="D10" i="2"/>
  <c r="E9" i="2"/>
  <c r="F9" i="2" s="1"/>
  <c r="D9" i="2"/>
  <c r="E8" i="2"/>
  <c r="F8" i="2" s="1"/>
  <c r="D8" i="2"/>
  <c r="E7" i="2"/>
  <c r="F7" i="2" s="1"/>
  <c r="D7" i="2"/>
  <c r="E6" i="2"/>
  <c r="F6" i="2" s="1"/>
  <c r="D6" i="2"/>
  <c r="E5" i="2"/>
  <c r="F5" i="2" s="1"/>
  <c r="D5" i="2"/>
  <c r="B24" i="2" s="1"/>
  <c r="B21" i="2" l="1"/>
  <c r="E5" i="1" s="1"/>
  <c r="E5" i="3"/>
  <c r="E5" i="4"/>
  <c r="B23" i="2"/>
  <c r="G5" i="1" s="1"/>
  <c r="B18" i="2"/>
  <c r="B5" i="1" s="1"/>
  <c r="B19" i="2"/>
  <c r="C5" i="1" s="1"/>
  <c r="B20" i="2"/>
  <c r="D5" i="1" s="1"/>
  <c r="B22" i="2"/>
  <c r="F5" i="1" s="1"/>
  <c r="K5" i="1" l="1"/>
  <c r="B23" i="4"/>
  <c r="G7" i="1" s="1"/>
  <c r="B22" i="4"/>
  <c r="F7" i="1" s="1"/>
  <c r="B20" i="4"/>
  <c r="D7" i="1" s="1"/>
  <c r="B19" i="4"/>
  <c r="C7" i="1" s="1"/>
  <c r="B18" i="4"/>
  <c r="B7" i="1" s="1"/>
  <c r="F5" i="4"/>
  <c r="B21" i="4" s="1"/>
  <c r="E7" i="1" s="1"/>
  <c r="B23" i="3"/>
  <c r="G6" i="1" s="1"/>
  <c r="B20" i="3"/>
  <c r="B22" i="3"/>
  <c r="F6" i="1" s="1"/>
  <c r="B19" i="3"/>
  <c r="C6" i="1" s="1"/>
  <c r="B18" i="3"/>
  <c r="B6" i="1" s="1"/>
  <c r="F5" i="3"/>
  <c r="B21" i="3" s="1"/>
  <c r="E6" i="1" s="1"/>
  <c r="K6" i="1" l="1"/>
  <c r="H6" i="1"/>
  <c r="K7" i="1"/>
  <c r="H7" i="1"/>
  <c r="H5" i="1"/>
</calcChain>
</file>

<file path=xl/sharedStrings.xml><?xml version="1.0" encoding="utf-8"?>
<sst xmlns="http://schemas.openxmlformats.org/spreadsheetml/2006/main" count="157" uniqueCount="48">
  <si>
    <t>RINGKASAN MAE JARAK MARKER KE SUBJEK</t>
  </si>
  <si>
    <t>Perbandingan MAE pada jarak 0 cm, 5 cm, dan 10 cm menggunakan 10 data pengujian</t>
  </si>
  <si>
    <t>Jarak</t>
  </si>
  <si>
    <t>Jumlah Data</t>
  </si>
  <si>
    <t>Total Galat Absolut (cm)</t>
  </si>
  <si>
    <t>MAE (cm)</t>
  </si>
  <si>
    <t>Rata-rata Galat Relatif (%)</t>
  </si>
  <si>
    <t>Galat Minimum (cm)</t>
  </si>
  <si>
    <t>Galat Maksimum (cm)</t>
  </si>
  <si>
    <t>Keterangan</t>
  </si>
  <si>
    <t>0 cm</t>
  </si>
  <si>
    <t>5 cm</t>
  </si>
  <si>
    <t>10 cm</t>
  </si>
  <si>
    <t>KESIMPULAN</t>
  </si>
  <si>
    <t>PENGUJIAN JARAK MARKER KE SUBJEK 0 cm</t>
  </si>
  <si>
    <t>Perbandingan hasil aplikasi dengan tinggi asli menggunakan MAE</t>
  </si>
  <si>
    <t>Kode</t>
  </si>
  <si>
    <t>Tinggi Asli (cm)</t>
  </si>
  <si>
    <t>Hasil Aplikasi (cm)</t>
  </si>
  <si>
    <t>Selisih (cm)</t>
  </si>
  <si>
    <t>Galat Absolut (cm)</t>
  </si>
  <si>
    <t>Galat Relatif (%)</t>
  </si>
  <si>
    <t>C01</t>
  </si>
  <si>
    <t>Valid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</si>
  <si>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</si>
  <si>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</si>
  <si>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</si>
  <si>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</si>
  <si>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</si>
  <si>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</si>
  <si>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</si>
  <si>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</si>
  <si>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</si>
  <si>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Metrik</t>
  </si>
  <si>
    <t>Nilai</t>
  </si>
  <si>
    <t>Satuan</t>
  </si>
  <si>
    <t>Jumlah data</t>
  </si>
  <si>
    <t>data</t>
  </si>
  <si>
    <t>Total galat absolut</t>
  </si>
  <si>
    <t>cm</t>
  </si>
  <si>
    <t>MAE</t>
  </si>
  <si>
    <t>Rata-rata galat relatif</t>
  </si>
  <si>
    <t>%</t>
  </si>
  <si>
    <t>Galat minimum</t>
  </si>
  <si>
    <t>Galat maksimum</t>
  </si>
  <si>
    <t>Rata-rata selisih</t>
  </si>
  <si>
    <t>PENGUJIAN JARAK MARKER KE SUBJEK 5 cm</t>
  </si>
  <si>
    <t>PENGUJIAN JARAK MARKER KE SUBJEK 10 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</si>
</sst>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1"/>
      <color rgb="FFFFFFFF"/>
      <name val="Carlito"/>
    </font>
    <font>
      <i/>
      <sz val="11"/>
      <color rgb="FF666666"/>
      <name val="Carlito"/>
    </font>
    <font>
      <sz val="11"/>
      <color rgb="FF375623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F4E3D"/>
      </patternFill>
    </fill>
    <fill>
      <patternFill patternType="solid">
        <fgColor rgb="FF5B9BD5"/>
      </patternFill>
    </fill>
    <fill>
      <patternFill patternType="solid">
        <fgColor rgb="FFE2F0D9"/>
      </patternFill>
    </fill>
  </fills>
  <borders count="9">
    <border>
      <left/>
      <right/>
      <top/>
      <bottom/>
      <diagonal/>
    </border>
    <border>
      <left style="thin">
        <color rgb="FFB7B7B7"/>
      </left>
      <right/>
      <top style="thin">
        <color rgb="FFB7B7B7"/>
      </top>
      <bottom/>
      <diagonal/>
    </border>
    <border>
      <left/>
      <right/>
      <top style="thin">
        <color rgb="FFB7B7B7"/>
      </top>
      <bottom/>
      <diagonal/>
    </border>
    <border>
      <left/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/>
      <top/>
      <bottom/>
      <diagonal/>
    </border>
    <border>
      <left/>
      <right style="thin">
        <color rgb="FFB7B7B7"/>
      </right>
      <top/>
      <bottom/>
      <diagonal/>
    </border>
    <border>
      <left style="thin">
        <color rgb="FFB7B7B7"/>
      </left>
      <right/>
      <top/>
      <bottom style="thin">
        <color rgb="FFB7B7B7"/>
      </bottom>
      <diagonal/>
    </border>
    <border>
      <left/>
      <right/>
      <top/>
      <bottom style="thin">
        <color rgb="FFB7B7B7"/>
      </bottom>
      <diagonal/>
    </border>
    <border>
      <left/>
      <right style="thin">
        <color rgb="FFB7B7B7"/>
      </right>
      <top/>
      <bottom style="thin">
        <color rgb="FFB7B7B7"/>
      </bottom>
      <diagonal/>
    </border>
  </borders>
  <cellStyleXfs count="1">
    <xf numFmtId="0" fontId="0" fillId="0" borderId="0"/>
  </cellStyleXfs>
  <cellXfs count="22">
    <xf numFmtId="0" fontId="0" fillId="0" borderId="0" xfId="0"/>
    <xf numFmtId="2" fontId="0" fillId="0" borderId="0" xfId="0" applyNumberFormat="1" applyAlignment="1">
      <alignment horizont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2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8" xfId="0" applyBorder="1"/>
    <xf numFmtId="1" fontId="0" fillId="0" borderId="0" xfId="0" applyNumberFormat="1"/>
    <xf numFmtId="2" fontId="0" fillId="0" borderId="0" xfId="0" applyNumberFormat="1"/>
    <xf numFmtId="2" fontId="0" fillId="0" borderId="7" xfId="0" applyNumberFormat="1" applyBorder="1"/>
    <xf numFmtId="1" fontId="0" fillId="0" borderId="0" xfId="0" applyNumberFormat="1" applyAlignment="1">
      <alignment horizontal="center"/>
    </xf>
    <xf numFmtId="1" fontId="0" fillId="0" borderId="7" xfId="0" applyNumberFormat="1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4" borderId="0" xfId="0" applyFont="1" applyFill="1" applyAlignment="1">
      <alignment vertical="center" wrapText="1"/>
    </xf>
  </cellXfs>
  <cellStyles count="1">
    <cellStyle name="Normal" xfId="0" builtinId="0"/>
  </cellStyles>
  <dxfs count="1">
    <dxf>
      <font>
        <b/>
        <color rgb="FF006100"/>
      </font>
      <fill>
        <patternFill patternType="solid">
          <bgColor rgb="FFC6E0B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Perbandingan MAE Berdasarkan Jarak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MAE (cm)</c:v>
          </c:tx>
          <c:invertIfNegative val="1"/>
          <c:cat>
            <c:strRef>
              <c:f>'Ringkasan MAE'!$J$5:$J$7</c:f>
              <c:strCache>
                <c:ptCount val="3"/>
                <c:pt idx="0">
                  <c:v>0 cm</c:v>
                </c:pt>
                <c:pt idx="1">
                  <c:v>5 cm</c:v>
                </c:pt>
                <c:pt idx="2">
                  <c:v>10 cm</c:v>
                </c:pt>
              </c:strCache>
            </c:strRef>
          </c:cat>
          <c:val>
            <c:numRef>
              <c:f>'Ringkasan MAE'!$K$5:$K$7</c:f>
              <c:numCache>
                <c:formatCode>General</c:formatCode>
                <c:ptCount val="3"/>
                <c:pt idx="0">
                  <c:v>4.5299999999999923</c:v>
                </c:pt>
                <c:pt idx="1">
                  <c:v>3.150000000000003</c:v>
                </c:pt>
                <c:pt idx="2">
                  <c:v>1.7799999999999983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10-4264-A434-C4C6900B0E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0</xdr:row>
      <xdr:rowOff>0</xdr:rowOff>
    </xdr:from>
    <xdr:to>
      <xdr:col>17</xdr:col>
      <xdr:colOff>0</xdr:colOff>
      <xdr:row>15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"/>
  <sheetViews>
    <sheetView tabSelected="1" workbookViewId="0">
      <selection activeCell="F21" sqref="F21"/>
    </sheetView>
  </sheetViews>
  <sheetFormatPr defaultRowHeight="14.25"/>
  <cols>
    <col min="1" max="1" width="12" customWidth="1"/>
    <col min="2" max="2" width="13" customWidth="1"/>
    <col min="3" max="3" width="23" customWidth="1"/>
    <col min="4" max="4" width="14" customWidth="1"/>
    <col min="5" max="5" width="24" customWidth="1"/>
    <col min="6" max="6" width="18" customWidth="1"/>
    <col min="7" max="7" width="19" customWidth="1"/>
    <col min="8" max="8" width="18" customWidth="1"/>
  </cols>
  <sheetData>
    <row r="1" spans="1:11" ht="27.95" customHeight="1">
      <c r="A1" s="19" t="s">
        <v>0</v>
      </c>
      <c r="B1" s="19"/>
      <c r="C1" s="19"/>
      <c r="D1" s="19"/>
      <c r="E1" s="19"/>
      <c r="F1" s="19"/>
      <c r="G1" s="19"/>
      <c r="H1" s="19"/>
    </row>
    <row r="2" spans="1:11">
      <c r="A2" s="20" t="s">
        <v>1</v>
      </c>
      <c r="B2" s="20"/>
      <c r="C2" s="20"/>
      <c r="D2" s="20"/>
      <c r="E2" s="20"/>
      <c r="F2" s="20"/>
      <c r="G2" s="20"/>
      <c r="H2" s="20"/>
    </row>
    <row r="4" spans="1:11" ht="39.950000000000003" customHeight="1">
      <c r="A4" s="2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4" t="s">
        <v>9</v>
      </c>
      <c r="J4" t="s">
        <v>2</v>
      </c>
      <c r="K4" t="s">
        <v>5</v>
      </c>
    </row>
    <row r="5" spans="1:11">
      <c r="A5" s="5" t="s">
        <v>10</v>
      </c>
      <c r="B5" s="17">
        <f>'Pengujian 0 cm'!B18</f>
        <v>10</v>
      </c>
      <c r="C5" s="1">
        <f>'Pengujian 0 cm'!B19</f>
        <v>45.299999999999926</v>
      </c>
      <c r="D5" s="1">
        <f>'Pengujian 0 cm'!B20</f>
        <v>4.5299999999999923</v>
      </c>
      <c r="E5" s="1">
        <f>'Pengujian 0 cm'!B21</f>
        <v>2.8396359270638625</v>
      </c>
      <c r="F5" s="1">
        <f>'Pengujian 0 cm'!B22</f>
        <v>0.69999999999998863</v>
      </c>
      <c r="G5" s="1">
        <f>'Pengujian 0 cm'!B23</f>
        <v>8.6999999999999886</v>
      </c>
      <c r="H5" s="6" t="str">
        <f>IF(D5=MIN($D$5:$D$7),"MAE TERENDAH","")</f>
        <v/>
      </c>
      <c r="J5" t="s">
        <v>10</v>
      </c>
      <c r="K5">
        <f>D5</f>
        <v>4.5299999999999923</v>
      </c>
    </row>
    <row r="6" spans="1:11">
      <c r="A6" s="5" t="s">
        <v>12</v>
      </c>
      <c r="B6" s="17">
        <f>'Pengujian 10 cm'!B18</f>
        <v>10</v>
      </c>
      <c r="C6" s="1">
        <f>'Pengujian 10 cm'!B19</f>
        <v>31.500000000000028</v>
      </c>
      <c r="D6" s="1">
        <f>'Pengujian 10 cm'!B20</f>
        <v>3.150000000000003</v>
      </c>
      <c r="E6" s="1">
        <f>'Pengujian 10 cm'!B21</f>
        <v>1.9674167499546855</v>
      </c>
      <c r="F6" s="1">
        <f>'Pengujian 10 cm'!B22</f>
        <v>0.40000000000000568</v>
      </c>
      <c r="G6" s="1">
        <f>'Pengujian 10 cm'!B23</f>
        <v>7</v>
      </c>
      <c r="H6" s="6" t="str">
        <f>IF(D6=MIN($D$5:$D$7),"MAE TERENDAH","")</f>
        <v/>
      </c>
      <c r="J6" t="s">
        <v>11</v>
      </c>
      <c r="K6">
        <f>D6</f>
        <v>3.150000000000003</v>
      </c>
    </row>
    <row r="7" spans="1:11">
      <c r="A7" s="7" t="s">
        <v>11</v>
      </c>
      <c r="B7" s="18">
        <f>'Pengujian 5 cm'!B18</f>
        <v>10</v>
      </c>
      <c r="C7" s="8">
        <f>'Pengujian 5 cm'!B19</f>
        <v>17.799999999999983</v>
      </c>
      <c r="D7" s="8">
        <f>'Pengujian 5 cm'!B20</f>
        <v>1.7799999999999983</v>
      </c>
      <c r="E7" s="8">
        <f>'Pengujian 5 cm'!B21</f>
        <v>1.126021265966171</v>
      </c>
      <c r="F7" s="8">
        <f>'Pengujian 5 cm'!B22</f>
        <v>0.19999999999998863</v>
      </c>
      <c r="G7" s="8">
        <f>'Pengujian 5 cm'!B23</f>
        <v>4.4000000000000057</v>
      </c>
      <c r="H7" s="9" t="str">
        <f>IF(D7=MIN($D$5:$D$7),"MAE TERENDAH","")</f>
        <v>MAE TERENDAH</v>
      </c>
      <c r="J7" t="s">
        <v>12</v>
      </c>
      <c r="K7">
        <f>D7</f>
        <v>1.7799999999999983</v>
      </c>
    </row>
    <row r="10" spans="1:11" ht="15">
      <c r="A10" s="19" t="s">
        <v>13</v>
      </c>
      <c r="B10" s="19"/>
      <c r="C10" s="19"/>
      <c r="D10" s="19"/>
      <c r="E10" s="19"/>
      <c r="F10" s="19"/>
      <c r="G10" s="19"/>
      <c r="H10" s="19"/>
    </row>
    <row r="11" spans="1:11" ht="42" customHeight="1">
      <c r="A11" s="21" t="str">
        <f>"Berdasarkan pengujian, jarak "&amp;INDEX(A5:A7,MATCH(MIN(D5:D7),D5:D7,0))&amp;" menghasilkan MAE terendah sebesar "&amp;TEXT(MIN(D5:D7),"0.00")&amp;" cm."</f>
        <v>Berdasarkan pengujian, jarak 5 cm menghasilkan MAE terendah sebesar 1.78 cm.</v>
      </c>
      <c r="B11" s="21"/>
      <c r="C11" s="21"/>
      <c r="D11" s="21"/>
      <c r="E11" s="21"/>
      <c r="F11" s="21"/>
      <c r="G11" s="21"/>
      <c r="H11" s="21"/>
    </row>
    <row r="12" spans="1:11" ht="42" customHeight="1">
      <c r="A12" s="21"/>
      <c r="B12" s="21"/>
      <c r="C12" s="21"/>
      <c r="D12" s="21"/>
      <c r="E12" s="21"/>
      <c r="F12" s="21"/>
      <c r="G12" s="21"/>
      <c r="H12" s="21"/>
    </row>
  </sheetData>
  <mergeCells count="4">
    <mergeCell ref="A1:H1"/>
    <mergeCell ref="A2:H2"/>
    <mergeCell ref="A10:H10"/>
    <mergeCell ref="A11:H12"/>
  </mergeCells>
  <conditionalFormatting sqref="D5:D7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5:H7">
    <cfRule type="expression" dxfId="0" priority="2">
      <formula>H5="MAE TERENDAH"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4"/>
  <sheetViews>
    <sheetView workbookViewId="0">
      <selection sqref="A1:G1"/>
    </sheetView>
  </sheetViews>
  <sheetFormatPr defaultRowHeight="14.25"/>
  <cols>
    <col min="1" max="1" width="11" customWidth="1"/>
    <col min="2" max="2" width="17" customWidth="1"/>
    <col min="3" max="3" width="19" customWidth="1"/>
    <col min="4" max="4" width="14" customWidth="1"/>
    <col min="5" max="5" width="20" customWidth="1"/>
    <col min="6" max="6" width="18" customWidth="1"/>
    <col min="7" max="7" width="14" customWidth="1"/>
  </cols>
  <sheetData>
    <row r="1" spans="1:7" ht="27.95" customHeight="1">
      <c r="A1" s="19" t="s">
        <v>14</v>
      </c>
      <c r="B1" s="19"/>
      <c r="C1" s="19"/>
      <c r="D1" s="19"/>
      <c r="E1" s="19"/>
      <c r="F1" s="19"/>
      <c r="G1" s="19"/>
    </row>
    <row r="2" spans="1:7">
      <c r="A2" s="20" t="s">
        <v>15</v>
      </c>
      <c r="B2" s="20"/>
      <c r="C2" s="20"/>
      <c r="D2" s="20"/>
      <c r="E2" s="20"/>
      <c r="F2" s="20"/>
      <c r="G2" s="20"/>
    </row>
    <row r="4" spans="1:7" ht="36" customHeight="1">
      <c r="A4" s="2" t="s">
        <v>16</v>
      </c>
      <c r="B4" s="3" t="s">
        <v>17</v>
      </c>
      <c r="C4" s="3" t="s">
        <v>18</v>
      </c>
      <c r="D4" s="3" t="s">
        <v>19</v>
      </c>
      <c r="E4" s="3" t="s">
        <v>20</v>
      </c>
      <c r="F4" s="3" t="s">
        <v>21</v>
      </c>
      <c r="G4" s="4" t="s">
        <v>9</v>
      </c>
    </row>
    <row r="5" spans="1:7">
      <c r="A5" s="5" t="s">
        <v>22</v>
      </c>
      <c r="B5" s="1">
        <v>169</v>
      </c>
      <c r="C5" s="1">
        <v>170</v>
      </c>
      <c r="D5" s="1">
        <f t="shared" ref="D5:D14" si="0">C5-B5</f>
        <v>1</v>
      </c>
      <c r="E5" s="1">
        <f t="shared" ref="E5:E14" si="1">ABS(D5)</f>
        <v>1</v>
      </c>
      <c r="F5" s="1">
        <f t="shared" ref="F5:F14" si="2">E5/B5*100</f>
        <v>0.59171597633136097</v>
      </c>
      <c r="G5" s="6" t="s">
        <v>23</v>
      </c>
    </row>
    <row r="6" spans="1:7">
      <c r="A6" s="5" t="s">
        <v>24</v>
      </c>
      <c r="B6" s="1">
        <v>154</v>
      </c>
      <c r="C6" s="1">
        <v>149.4</v>
      </c>
      <c r="D6" s="1">
        <f t="shared" si="0"/>
        <v>-4.5999999999999943</v>
      </c>
      <c r="E6" s="1">
        <f t="shared" si="1"/>
        <v>4.5999999999999943</v>
      </c>
      <c r="F6" s="1">
        <f t="shared" si="2"/>
        <v>2.9870129870129833</v>
      </c>
      <c r="G6" s="6" t="s">
        <v>23</v>
      </c>
    </row>
    <row r="7" spans="1:7">
      <c r="A7" s="5" t="s">
        <v>25</v>
      </c>
      <c r="B7" s="1">
        <v>170</v>
      </c>
      <c r="C7" s="1">
        <v>168.8</v>
      </c>
      <c r="D7" s="1">
        <f t="shared" si="0"/>
        <v>-1.1999999999999886</v>
      </c>
      <c r="E7" s="1">
        <f t="shared" si="1"/>
        <v>1.1999999999999886</v>
      </c>
      <c r="F7" s="1">
        <f t="shared" si="2"/>
        <v>0.70588235294116985</v>
      </c>
      <c r="G7" s="6" t="s">
        <v>23</v>
      </c>
    </row>
    <row r="8" spans="1:7">
      <c r="A8" s="5" t="s">
        <v>26</v>
      </c>
      <c r="B8" s="1">
        <v>159</v>
      </c>
      <c r="C8" s="1">
        <v>150.30000000000001</v>
      </c>
      <c r="D8" s="1">
        <f t="shared" si="0"/>
        <v>-8.6999999999999886</v>
      </c>
      <c r="E8" s="1">
        <f t="shared" si="1"/>
        <v>8.6999999999999886</v>
      </c>
      <c r="F8" s="1">
        <f t="shared" si="2"/>
        <v>5.4716981132075393</v>
      </c>
      <c r="G8" s="6" t="s">
        <v>23</v>
      </c>
    </row>
    <row r="9" spans="1:7">
      <c r="A9" s="5" t="s">
        <v>27</v>
      </c>
      <c r="B9" s="1">
        <v>153</v>
      </c>
      <c r="C9" s="1">
        <v>145</v>
      </c>
      <c r="D9" s="1">
        <f t="shared" si="0"/>
        <v>-8</v>
      </c>
      <c r="E9" s="1">
        <f t="shared" si="1"/>
        <v>8</v>
      </c>
      <c r="F9" s="1">
        <f t="shared" si="2"/>
        <v>5.2287581699346406</v>
      </c>
      <c r="G9" s="6" t="s">
        <v>23</v>
      </c>
    </row>
    <row r="10" spans="1:7">
      <c r="A10" s="5" t="s">
        <v>28</v>
      </c>
      <c r="B10" s="1">
        <v>150</v>
      </c>
      <c r="C10" s="1">
        <v>146.9</v>
      </c>
      <c r="D10" s="1">
        <f t="shared" si="0"/>
        <v>-3.0999999999999943</v>
      </c>
      <c r="E10" s="1">
        <f t="shared" si="1"/>
        <v>3.0999999999999943</v>
      </c>
      <c r="F10" s="1">
        <f t="shared" si="2"/>
        <v>2.0666666666666629</v>
      </c>
      <c r="G10" s="6" t="s">
        <v>23</v>
      </c>
    </row>
    <row r="11" spans="1:7">
      <c r="A11" s="5" t="s">
        <v>29</v>
      </c>
      <c r="B11" s="1">
        <v>159</v>
      </c>
      <c r="C11" s="1">
        <v>154.4</v>
      </c>
      <c r="D11" s="1">
        <f t="shared" si="0"/>
        <v>-4.5999999999999943</v>
      </c>
      <c r="E11" s="1">
        <f t="shared" si="1"/>
        <v>4.5999999999999943</v>
      </c>
      <c r="F11" s="1">
        <f t="shared" si="2"/>
        <v>2.893081761006286</v>
      </c>
      <c r="G11" s="6" t="s">
        <v>23</v>
      </c>
    </row>
    <row r="12" spans="1:7">
      <c r="A12" s="5" t="s">
        <v>30</v>
      </c>
      <c r="B12" s="1">
        <v>173</v>
      </c>
      <c r="C12" s="1">
        <v>164.3</v>
      </c>
      <c r="D12" s="1">
        <f t="shared" si="0"/>
        <v>-8.6999999999999886</v>
      </c>
      <c r="E12" s="1">
        <f t="shared" si="1"/>
        <v>8.6999999999999886</v>
      </c>
      <c r="F12" s="1">
        <f t="shared" si="2"/>
        <v>5.0289017341040392</v>
      </c>
      <c r="G12" s="6" t="s">
        <v>23</v>
      </c>
    </row>
    <row r="13" spans="1:7">
      <c r="A13" s="5" t="s">
        <v>31</v>
      </c>
      <c r="B13" s="1">
        <v>150</v>
      </c>
      <c r="C13" s="1">
        <v>149.30000000000001</v>
      </c>
      <c r="D13" s="1">
        <f t="shared" si="0"/>
        <v>-0.69999999999998863</v>
      </c>
      <c r="E13" s="1">
        <f t="shared" si="1"/>
        <v>0.69999999999998863</v>
      </c>
      <c r="F13" s="1">
        <f t="shared" si="2"/>
        <v>0.46666666666665907</v>
      </c>
      <c r="G13" s="6" t="s">
        <v>23</v>
      </c>
    </row>
    <row r="14" spans="1:7">
      <c r="A14" s="7" t="s">
        <v>32</v>
      </c>
      <c r="B14" s="8">
        <v>159</v>
      </c>
      <c r="C14" s="8">
        <v>154.30000000000001</v>
      </c>
      <c r="D14" s="8">
        <f t="shared" si="0"/>
        <v>-4.6999999999999886</v>
      </c>
      <c r="E14" s="8">
        <f t="shared" si="1"/>
        <v>4.6999999999999886</v>
      </c>
      <c r="F14" s="8">
        <f t="shared" si="2"/>
        <v>2.9559748427672883</v>
      </c>
      <c r="G14" s="9" t="s">
        <v>23</v>
      </c>
    </row>
    <row r="17" spans="1:3" ht="15">
      <c r="A17" s="2" t="s">
        <v>33</v>
      </c>
      <c r="B17" s="3" t="s">
        <v>34</v>
      </c>
      <c r="C17" s="4" t="s">
        <v>35</v>
      </c>
    </row>
    <row r="18" spans="1:3">
      <c r="A18" s="10" t="s">
        <v>36</v>
      </c>
      <c r="B18" s="14">
        <f>COUNT(E5:E14)</f>
        <v>10</v>
      </c>
      <c r="C18" s="11" t="s">
        <v>37</v>
      </c>
    </row>
    <row r="19" spans="1:3">
      <c r="A19" s="10" t="s">
        <v>38</v>
      </c>
      <c r="B19" s="15">
        <f>SUM(E5:E14)</f>
        <v>45.299999999999926</v>
      </c>
      <c r="C19" s="11" t="s">
        <v>39</v>
      </c>
    </row>
    <row r="20" spans="1:3">
      <c r="A20" s="10" t="s">
        <v>40</v>
      </c>
      <c r="B20" s="15">
        <f>AVERAGE(E5:E14)</f>
        <v>4.5299999999999923</v>
      </c>
      <c r="C20" s="11" t="s">
        <v>39</v>
      </c>
    </row>
    <row r="21" spans="1:3">
      <c r="A21" s="10" t="s">
        <v>41</v>
      </c>
      <c r="B21" s="15">
        <f>AVERAGE(F5:F14)</f>
        <v>2.8396359270638625</v>
      </c>
      <c r="C21" s="11" t="s">
        <v>42</v>
      </c>
    </row>
    <row r="22" spans="1:3">
      <c r="A22" s="10" t="s">
        <v>43</v>
      </c>
      <c r="B22" s="15">
        <f>MIN(E5:E14)</f>
        <v>0.69999999999998863</v>
      </c>
      <c r="C22" s="11" t="s">
        <v>39</v>
      </c>
    </row>
    <row r="23" spans="1:3">
      <c r="A23" s="10" t="s">
        <v>44</v>
      </c>
      <c r="B23" s="15">
        <f>MAX(E5:E14)</f>
        <v>8.6999999999999886</v>
      </c>
      <c r="C23" s="11" t="s">
        <v>39</v>
      </c>
    </row>
    <row r="24" spans="1:3">
      <c r="A24" s="12" t="s">
        <v>45</v>
      </c>
      <c r="B24" s="16">
        <f>AVERAGE(D5:D14)</f>
        <v>-4.329999999999993</v>
      </c>
      <c r="C24" s="13" t="s">
        <v>39</v>
      </c>
    </row>
  </sheetData>
  <mergeCells count="2">
    <mergeCell ref="A1:G1"/>
    <mergeCell ref="A2:G2"/>
  </mergeCells>
  <conditionalFormatting sqref="E5:E14">
    <cfRule type="colorScale" priority="1">
      <colorScale>
        <cfvo type="min"/>
        <cfvo type="percentile" val="50"/>
        <cfvo type="max"/>
        <color rgb="FFE2F0D9"/>
        <color rgb="FFFFF2CC"/>
        <color rgb="FFF4CCCC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4"/>
  <sheetViews>
    <sheetView workbookViewId="0">
      <selection sqref="A1:G1"/>
    </sheetView>
  </sheetViews>
  <sheetFormatPr defaultRowHeight="14.25"/>
  <cols>
    <col min="1" max="1" width="11" customWidth="1"/>
    <col min="2" max="2" width="17" customWidth="1"/>
    <col min="3" max="3" width="19" customWidth="1"/>
    <col min="4" max="4" width="14" customWidth="1"/>
    <col min="5" max="5" width="20" customWidth="1"/>
    <col min="6" max="6" width="18" customWidth="1"/>
    <col min="7" max="7" width="14" customWidth="1"/>
  </cols>
  <sheetData>
    <row r="1" spans="1:7" ht="27.95" customHeight="1">
      <c r="A1" s="19" t="s">
        <v>46</v>
      </c>
      <c r="B1" s="19"/>
      <c r="C1" s="19"/>
      <c r="D1" s="19"/>
      <c r="E1" s="19"/>
      <c r="F1" s="19"/>
      <c r="G1" s="19"/>
    </row>
    <row r="2" spans="1:7">
      <c r="A2" s="20" t="s">
        <v>15</v>
      </c>
      <c r="B2" s="20"/>
      <c r="C2" s="20"/>
      <c r="D2" s="20"/>
      <c r="E2" s="20"/>
      <c r="F2" s="20"/>
      <c r="G2" s="20"/>
    </row>
    <row r="4" spans="1:7" ht="36" customHeight="1">
      <c r="A4" s="2" t="s">
        <v>16</v>
      </c>
      <c r="B4" s="3" t="s">
        <v>17</v>
      </c>
      <c r="C4" s="3" t="s">
        <v>18</v>
      </c>
      <c r="D4" s="3" t="s">
        <v>19</v>
      </c>
      <c r="E4" s="3" t="s">
        <v>20</v>
      </c>
      <c r="F4" s="3" t="s">
        <v>21</v>
      </c>
      <c r="G4" s="4" t="s">
        <v>9</v>
      </c>
    </row>
    <row r="5" spans="1:7">
      <c r="A5" s="5" t="s">
        <v>22</v>
      </c>
      <c r="B5" s="1">
        <v>169</v>
      </c>
      <c r="C5" s="1">
        <v>166.7</v>
      </c>
      <c r="D5" s="1">
        <f t="shared" ref="D5:D14" si="0">C5-B5</f>
        <v>-2.3000000000000114</v>
      </c>
      <c r="E5" s="1">
        <f t="shared" ref="E5:E14" si="1">ABS(D5)</f>
        <v>2.3000000000000114</v>
      </c>
      <c r="F5" s="1">
        <f t="shared" ref="F5:F14" si="2">E5/B5*100</f>
        <v>1.3609467455621369</v>
      </c>
      <c r="G5" s="6" t="s">
        <v>23</v>
      </c>
    </row>
    <row r="6" spans="1:7">
      <c r="A6" s="5" t="s">
        <v>24</v>
      </c>
      <c r="B6" s="1">
        <v>154</v>
      </c>
      <c r="C6" s="1">
        <v>147</v>
      </c>
      <c r="D6" s="1">
        <f t="shared" si="0"/>
        <v>-7</v>
      </c>
      <c r="E6" s="1">
        <f t="shared" si="1"/>
        <v>7</v>
      </c>
      <c r="F6" s="1">
        <f t="shared" si="2"/>
        <v>4.5454545454545459</v>
      </c>
      <c r="G6" s="6" t="s">
        <v>23</v>
      </c>
    </row>
    <row r="7" spans="1:7">
      <c r="A7" s="5" t="s">
        <v>25</v>
      </c>
      <c r="B7" s="1">
        <v>170</v>
      </c>
      <c r="C7" s="1">
        <v>171.3</v>
      </c>
      <c r="D7" s="1">
        <f t="shared" si="0"/>
        <v>1.3000000000000114</v>
      </c>
      <c r="E7" s="1">
        <f t="shared" si="1"/>
        <v>1.3000000000000114</v>
      </c>
      <c r="F7" s="1">
        <f t="shared" si="2"/>
        <v>0.7647058823529479</v>
      </c>
      <c r="G7" s="6" t="s">
        <v>23</v>
      </c>
    </row>
    <row r="8" spans="1:7">
      <c r="A8" s="5" t="s">
        <v>26</v>
      </c>
      <c r="B8" s="1">
        <v>159</v>
      </c>
      <c r="C8" s="1">
        <v>153.9</v>
      </c>
      <c r="D8" s="1">
        <f t="shared" si="0"/>
        <v>-5.0999999999999943</v>
      </c>
      <c r="E8" s="1">
        <f t="shared" si="1"/>
        <v>5.0999999999999943</v>
      </c>
      <c r="F8" s="1">
        <f t="shared" si="2"/>
        <v>3.2075471698113174</v>
      </c>
      <c r="G8" s="6" t="s">
        <v>23</v>
      </c>
    </row>
    <row r="9" spans="1:7">
      <c r="A9" s="5" t="s">
        <v>27</v>
      </c>
      <c r="B9" s="1">
        <v>153</v>
      </c>
      <c r="C9" s="1">
        <v>149.80000000000001</v>
      </c>
      <c r="D9" s="1">
        <f t="shared" si="0"/>
        <v>-3.1999999999999886</v>
      </c>
      <c r="E9" s="1">
        <f t="shared" si="1"/>
        <v>3.1999999999999886</v>
      </c>
      <c r="F9" s="1">
        <f t="shared" si="2"/>
        <v>2.0915032679738488</v>
      </c>
      <c r="G9" s="6" t="s">
        <v>23</v>
      </c>
    </row>
    <row r="10" spans="1:7">
      <c r="A10" s="5" t="s">
        <v>28</v>
      </c>
      <c r="B10" s="1">
        <v>150</v>
      </c>
      <c r="C10" s="1">
        <v>150.4</v>
      </c>
      <c r="D10" s="1">
        <f t="shared" si="0"/>
        <v>0.40000000000000568</v>
      </c>
      <c r="E10" s="1">
        <f t="shared" si="1"/>
        <v>0.40000000000000568</v>
      </c>
      <c r="F10" s="1">
        <f t="shared" si="2"/>
        <v>0.26666666666667049</v>
      </c>
      <c r="G10" s="6" t="s">
        <v>23</v>
      </c>
    </row>
    <row r="11" spans="1:7">
      <c r="A11" s="5" t="s">
        <v>29</v>
      </c>
      <c r="B11" s="1">
        <v>159</v>
      </c>
      <c r="C11" s="1">
        <v>156.19999999999999</v>
      </c>
      <c r="D11" s="1">
        <f t="shared" si="0"/>
        <v>-2.8000000000000114</v>
      </c>
      <c r="E11" s="1">
        <f t="shared" si="1"/>
        <v>2.8000000000000114</v>
      </c>
      <c r="F11" s="1">
        <f t="shared" si="2"/>
        <v>1.7610062893081833</v>
      </c>
      <c r="G11" s="6" t="s">
        <v>23</v>
      </c>
    </row>
    <row r="12" spans="1:7">
      <c r="A12" s="5" t="s">
        <v>30</v>
      </c>
      <c r="B12" s="1">
        <v>173</v>
      </c>
      <c r="C12" s="1">
        <v>168</v>
      </c>
      <c r="D12" s="1">
        <f t="shared" si="0"/>
        <v>-5</v>
      </c>
      <c r="E12" s="1">
        <f t="shared" si="1"/>
        <v>5</v>
      </c>
      <c r="F12" s="1">
        <f t="shared" si="2"/>
        <v>2.8901734104046244</v>
      </c>
      <c r="G12" s="6" t="s">
        <v>23</v>
      </c>
    </row>
    <row r="13" spans="1:7">
      <c r="A13" s="5" t="s">
        <v>31</v>
      </c>
      <c r="B13" s="1">
        <v>150</v>
      </c>
      <c r="C13" s="1">
        <v>149.5</v>
      </c>
      <c r="D13" s="1">
        <f t="shared" si="0"/>
        <v>-0.5</v>
      </c>
      <c r="E13" s="1">
        <f t="shared" si="1"/>
        <v>0.5</v>
      </c>
      <c r="F13" s="1">
        <f t="shared" si="2"/>
        <v>0.33333333333333337</v>
      </c>
      <c r="G13" s="6" t="s">
        <v>23</v>
      </c>
    </row>
    <row r="14" spans="1:7">
      <c r="A14" s="7" t="s">
        <v>32</v>
      </c>
      <c r="B14" s="8">
        <v>159</v>
      </c>
      <c r="C14" s="8">
        <v>155.1</v>
      </c>
      <c r="D14" s="8">
        <f t="shared" si="0"/>
        <v>-3.9000000000000057</v>
      </c>
      <c r="E14" s="8">
        <f t="shared" si="1"/>
        <v>3.9000000000000057</v>
      </c>
      <c r="F14" s="8">
        <f t="shared" si="2"/>
        <v>2.4528301886792487</v>
      </c>
      <c r="G14" s="9" t="s">
        <v>23</v>
      </c>
    </row>
    <row r="17" spans="1:3" ht="15">
      <c r="A17" s="2" t="s">
        <v>33</v>
      </c>
      <c r="B17" s="3" t="s">
        <v>34</v>
      </c>
      <c r="C17" s="4" t="s">
        <v>35</v>
      </c>
    </row>
    <row r="18" spans="1:3">
      <c r="A18" s="10" t="s">
        <v>36</v>
      </c>
      <c r="B18" s="14">
        <f>COUNT(E5:E14)</f>
        <v>10</v>
      </c>
      <c r="C18" s="11" t="s">
        <v>37</v>
      </c>
    </row>
    <row r="19" spans="1:3">
      <c r="A19" s="10" t="s">
        <v>38</v>
      </c>
      <c r="B19" s="15">
        <f>SUM(E5:E14)</f>
        <v>31.500000000000028</v>
      </c>
      <c r="C19" s="11" t="s">
        <v>39</v>
      </c>
    </row>
    <row r="20" spans="1:3">
      <c r="A20" s="10" t="s">
        <v>40</v>
      </c>
      <c r="B20" s="15">
        <f>AVERAGE(E5:E14)</f>
        <v>3.150000000000003</v>
      </c>
      <c r="C20" s="11" t="s">
        <v>39</v>
      </c>
    </row>
    <row r="21" spans="1:3">
      <c r="A21" s="10" t="s">
        <v>41</v>
      </c>
      <c r="B21" s="15">
        <f>AVERAGE(F5:F14)</f>
        <v>1.9674167499546855</v>
      </c>
      <c r="C21" s="11" t="s">
        <v>42</v>
      </c>
    </row>
    <row r="22" spans="1:3">
      <c r="A22" s="10" t="s">
        <v>43</v>
      </c>
      <c r="B22" s="15">
        <f>MIN(E5:E14)</f>
        <v>0.40000000000000568</v>
      </c>
      <c r="C22" s="11" t="s">
        <v>39</v>
      </c>
    </row>
    <row r="23" spans="1:3">
      <c r="A23" s="10" t="s">
        <v>44</v>
      </c>
      <c r="B23" s="15">
        <f>MAX(E5:E14)</f>
        <v>7</v>
      </c>
      <c r="C23" s="11" t="s">
        <v>39</v>
      </c>
    </row>
    <row r="24" spans="1:3">
      <c r="A24" s="12" t="s">
        <v>45</v>
      </c>
      <c r="B24" s="16">
        <f>AVERAGE(D5:D14)</f>
        <v>-2.8099999999999996</v>
      </c>
      <c r="C24" s="13" t="s">
        <v>39</v>
      </c>
    </row>
  </sheetData>
  <mergeCells count="2">
    <mergeCell ref="A1:G1"/>
    <mergeCell ref="A2:G2"/>
  </mergeCells>
  <conditionalFormatting sqref="E5:E14">
    <cfRule type="colorScale" priority="1">
      <colorScale>
        <cfvo type="min"/>
        <cfvo type="percentile" val="50"/>
        <cfvo type="max"/>
        <color rgb="FFE2F0D9"/>
        <color rgb="FFFFF2CC"/>
        <color rgb="FFF4CCCC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4"/>
  <sheetViews>
    <sheetView workbookViewId="0">
      <selection sqref="A1:G1"/>
    </sheetView>
  </sheetViews>
  <sheetFormatPr defaultRowHeight="14.25"/>
  <cols>
    <col min="1" max="1" width="11" customWidth="1"/>
    <col min="2" max="2" width="17" customWidth="1"/>
    <col min="3" max="3" width="19" customWidth="1"/>
    <col min="4" max="4" width="14" customWidth="1"/>
    <col min="5" max="5" width="20" customWidth="1"/>
    <col min="6" max="6" width="18" customWidth="1"/>
    <col min="7" max="7" width="14" customWidth="1"/>
  </cols>
  <sheetData>
    <row r="1" spans="1:7" ht="27.95" customHeight="1">
      <c r="A1" s="19" t="s">
        <v>47</v>
      </c>
      <c r="B1" s="19"/>
      <c r="C1" s="19"/>
      <c r="D1" s="19"/>
      <c r="E1" s="19"/>
      <c r="F1" s="19"/>
      <c r="G1" s="19"/>
    </row>
    <row r="2" spans="1:7">
      <c r="A2" s="20" t="s">
        <v>15</v>
      </c>
      <c r="B2" s="20"/>
      <c r="C2" s="20"/>
      <c r="D2" s="20"/>
      <c r="E2" s="20"/>
      <c r="F2" s="20"/>
      <c r="G2" s="20"/>
    </row>
    <row r="4" spans="1:7" ht="36" customHeight="1">
      <c r="A4" s="2" t="s">
        <v>16</v>
      </c>
      <c r="B4" s="3" t="s">
        <v>17</v>
      </c>
      <c r="C4" s="3" t="s">
        <v>18</v>
      </c>
      <c r="D4" s="3" t="s">
        <v>19</v>
      </c>
      <c r="E4" s="3" t="s">
        <v>20</v>
      </c>
      <c r="F4" s="3" t="s">
        <v>21</v>
      </c>
      <c r="G4" s="4" t="s">
        <v>9</v>
      </c>
    </row>
    <row r="5" spans="1:7">
      <c r="A5" s="5" t="s">
        <v>22</v>
      </c>
      <c r="B5" s="1">
        <v>169</v>
      </c>
      <c r="C5" s="1">
        <v>171.1</v>
      </c>
      <c r="D5" s="1">
        <f t="shared" ref="D5:D14" si="0">C5-B5</f>
        <v>2.0999999999999943</v>
      </c>
      <c r="E5" s="1">
        <f t="shared" ref="E5:E14" si="1">ABS(D5)</f>
        <v>2.0999999999999943</v>
      </c>
      <c r="F5" s="1">
        <f t="shared" ref="F5:F14" si="2">E5/B5*100</f>
        <v>1.2426035502958546</v>
      </c>
      <c r="G5" s="6" t="s">
        <v>23</v>
      </c>
    </row>
    <row r="6" spans="1:7">
      <c r="A6" s="5" t="s">
        <v>24</v>
      </c>
      <c r="B6" s="1">
        <v>154</v>
      </c>
      <c r="C6" s="1">
        <v>153.4</v>
      </c>
      <c r="D6" s="1">
        <f t="shared" si="0"/>
        <v>-0.59999999999999432</v>
      </c>
      <c r="E6" s="1">
        <f t="shared" si="1"/>
        <v>0.59999999999999432</v>
      </c>
      <c r="F6" s="1">
        <f t="shared" si="2"/>
        <v>0.38961038961038591</v>
      </c>
      <c r="G6" s="6" t="s">
        <v>23</v>
      </c>
    </row>
    <row r="7" spans="1:7">
      <c r="A7" s="5" t="s">
        <v>25</v>
      </c>
      <c r="B7" s="1">
        <v>170</v>
      </c>
      <c r="C7" s="1">
        <v>172.7</v>
      </c>
      <c r="D7" s="1">
        <f t="shared" si="0"/>
        <v>2.6999999999999886</v>
      </c>
      <c r="E7" s="1">
        <f t="shared" si="1"/>
        <v>2.6999999999999886</v>
      </c>
      <c r="F7" s="1">
        <f t="shared" si="2"/>
        <v>1.5882352941176403</v>
      </c>
      <c r="G7" s="6" t="s">
        <v>23</v>
      </c>
    </row>
    <row r="8" spans="1:7">
      <c r="A8" s="5" t="s">
        <v>26</v>
      </c>
      <c r="B8" s="1">
        <v>159</v>
      </c>
      <c r="C8" s="1">
        <v>156.30000000000001</v>
      </c>
      <c r="D8" s="1">
        <f t="shared" si="0"/>
        <v>-2.6999999999999886</v>
      </c>
      <c r="E8" s="1">
        <f t="shared" si="1"/>
        <v>2.6999999999999886</v>
      </c>
      <c r="F8" s="1">
        <f t="shared" si="2"/>
        <v>1.6981132075471626</v>
      </c>
      <c r="G8" s="6" t="s">
        <v>23</v>
      </c>
    </row>
    <row r="9" spans="1:7">
      <c r="A9" s="5" t="s">
        <v>27</v>
      </c>
      <c r="B9" s="1">
        <v>153</v>
      </c>
      <c r="C9" s="1">
        <v>153.4</v>
      </c>
      <c r="D9" s="1">
        <f t="shared" si="0"/>
        <v>0.40000000000000568</v>
      </c>
      <c r="E9" s="1">
        <f t="shared" si="1"/>
        <v>0.40000000000000568</v>
      </c>
      <c r="F9" s="1">
        <f t="shared" si="2"/>
        <v>0.26143790849673576</v>
      </c>
      <c r="G9" s="6" t="s">
        <v>23</v>
      </c>
    </row>
    <row r="10" spans="1:7">
      <c r="A10" s="5" t="s">
        <v>28</v>
      </c>
      <c r="B10" s="1">
        <v>150</v>
      </c>
      <c r="C10" s="1">
        <v>147.6</v>
      </c>
      <c r="D10" s="1">
        <f t="shared" si="0"/>
        <v>-2.4000000000000057</v>
      </c>
      <c r="E10" s="1">
        <f t="shared" si="1"/>
        <v>2.4000000000000057</v>
      </c>
      <c r="F10" s="1">
        <f t="shared" si="2"/>
        <v>1.6000000000000039</v>
      </c>
      <c r="G10" s="6" t="s">
        <v>23</v>
      </c>
    </row>
    <row r="11" spans="1:7">
      <c r="A11" s="5" t="s">
        <v>29</v>
      </c>
      <c r="B11" s="1">
        <v>159</v>
      </c>
      <c r="C11" s="1">
        <v>158.80000000000001</v>
      </c>
      <c r="D11" s="1">
        <f t="shared" si="0"/>
        <v>-0.19999999999998863</v>
      </c>
      <c r="E11" s="1">
        <f t="shared" si="1"/>
        <v>0.19999999999998863</v>
      </c>
      <c r="F11" s="1">
        <f t="shared" si="2"/>
        <v>0.12578616352200545</v>
      </c>
      <c r="G11" s="6" t="s">
        <v>23</v>
      </c>
    </row>
    <row r="12" spans="1:7">
      <c r="A12" s="5" t="s">
        <v>30</v>
      </c>
      <c r="B12" s="1">
        <v>173</v>
      </c>
      <c r="C12" s="1">
        <v>172.5</v>
      </c>
      <c r="D12" s="1">
        <f t="shared" si="0"/>
        <v>-0.5</v>
      </c>
      <c r="E12" s="1">
        <f t="shared" si="1"/>
        <v>0.5</v>
      </c>
      <c r="F12" s="1">
        <f t="shared" si="2"/>
        <v>0.28901734104046239</v>
      </c>
      <c r="G12" s="6" t="s">
        <v>23</v>
      </c>
    </row>
    <row r="13" spans="1:7">
      <c r="A13" s="5" t="s">
        <v>31</v>
      </c>
      <c r="B13" s="1">
        <v>150</v>
      </c>
      <c r="C13" s="1">
        <v>154.4</v>
      </c>
      <c r="D13" s="1">
        <f t="shared" si="0"/>
        <v>4.4000000000000057</v>
      </c>
      <c r="E13" s="1">
        <f t="shared" si="1"/>
        <v>4.4000000000000057</v>
      </c>
      <c r="F13" s="1">
        <f t="shared" si="2"/>
        <v>2.9333333333333371</v>
      </c>
      <c r="G13" s="6" t="s">
        <v>23</v>
      </c>
    </row>
    <row r="14" spans="1:7">
      <c r="A14" s="7" t="s">
        <v>32</v>
      </c>
      <c r="B14" s="8">
        <v>159</v>
      </c>
      <c r="C14" s="8">
        <v>157.19999999999999</v>
      </c>
      <c r="D14" s="8">
        <f t="shared" si="0"/>
        <v>-1.8000000000000114</v>
      </c>
      <c r="E14" s="8">
        <f t="shared" si="1"/>
        <v>1.8000000000000114</v>
      </c>
      <c r="F14" s="8">
        <f t="shared" si="2"/>
        <v>1.1320754716981205</v>
      </c>
      <c r="G14" s="9" t="s">
        <v>23</v>
      </c>
    </row>
    <row r="17" spans="1:3" ht="15">
      <c r="A17" s="2" t="s">
        <v>33</v>
      </c>
      <c r="B17" s="3" t="s">
        <v>34</v>
      </c>
      <c r="C17" s="4" t="s">
        <v>35</v>
      </c>
    </row>
    <row r="18" spans="1:3">
      <c r="A18" s="10" t="s">
        <v>36</v>
      </c>
      <c r="B18" s="14">
        <f>COUNT(E5:E14)</f>
        <v>10</v>
      </c>
      <c r="C18" s="11" t="s">
        <v>37</v>
      </c>
    </row>
    <row r="19" spans="1:3">
      <c r="A19" s="10" t="s">
        <v>38</v>
      </c>
      <c r="B19" s="15">
        <f>SUM(E5:E14)</f>
        <v>17.799999999999983</v>
      </c>
      <c r="C19" s="11" t="s">
        <v>39</v>
      </c>
    </row>
    <row r="20" spans="1:3">
      <c r="A20" s="10" t="s">
        <v>40</v>
      </c>
      <c r="B20" s="15">
        <f>AVERAGE(E5:E14)</f>
        <v>1.7799999999999983</v>
      </c>
      <c r="C20" s="11" t="s">
        <v>39</v>
      </c>
    </row>
    <row r="21" spans="1:3">
      <c r="A21" s="10" t="s">
        <v>41</v>
      </c>
      <c r="B21" s="15">
        <f>AVERAGE(F5:F14)</f>
        <v>1.126021265966171</v>
      </c>
      <c r="C21" s="11" t="s">
        <v>42</v>
      </c>
    </row>
    <row r="22" spans="1:3">
      <c r="A22" s="10" t="s">
        <v>43</v>
      </c>
      <c r="B22" s="15">
        <f>MIN(E5:E14)</f>
        <v>0.19999999999998863</v>
      </c>
      <c r="C22" s="11" t="s">
        <v>39</v>
      </c>
    </row>
    <row r="23" spans="1:3">
      <c r="A23" s="10" t="s">
        <v>44</v>
      </c>
      <c r="B23" s="15">
        <f>MAX(E5:E14)</f>
        <v>4.4000000000000057</v>
      </c>
      <c r="C23" s="11" t="s">
        <v>39</v>
      </c>
    </row>
    <row r="24" spans="1:3">
      <c r="A24" s="12" t="s">
        <v>45</v>
      </c>
      <c r="B24" s="16">
        <f>AVERAGE(D5:D14)</f>
        <v>0.14000000000000057</v>
      </c>
      <c r="C24" s="13" t="s">
        <v>39</v>
      </c>
    </row>
  </sheetData>
  <mergeCells count="2">
    <mergeCell ref="A1:G1"/>
    <mergeCell ref="A2:G2"/>
  </mergeCells>
  <conditionalFormatting sqref="E5:E14">
    <cfRule type="colorScale" priority="1">
      <colorScale>
        <cfvo type="min"/>
        <cfvo type="percentile" val="50"/>
        <cfvo type="max"/>
        <color rgb="FFE2F0D9"/>
        <color rgb="FFFFF2CC"/>
        <color rgb="FFF4CCC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Ringkasan MAE</vt:lpstr>
      <vt:lpstr>Pengujian 0 cm</vt:lpstr>
      <vt:lpstr>Pengujian 10 cm</vt:lpstr>
      <vt:lpstr>Pengujian 5 cm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khayla fitriani</cp:lastModifiedBy>
  <dcterms:modified xsi:type="dcterms:W3CDTF">2026-07-13T23:05:46Z</dcterms:modified>
</cp:coreProperties>
</file>