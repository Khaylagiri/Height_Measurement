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f4c19087eb43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Kalibrasi" sheetId="1" r:id="R3aad099ea0c349b0"/>
    <x:sheet xmlns:r="http://schemas.openxmlformats.org/officeDocument/2006/relationships" name="Ringkasan" sheetId="2" r:id="Rad4af24f6be54e28"/>
    <x:sheet xmlns:r="http://schemas.openxmlformats.org/officeDocument/2006/relationships" name="Petunjuk" sheetId="3" r:id="Rc065b1e7f79543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%"/>
  </x:numFmts>
  <x:fonts count="4">
    <x:font>
      <x:sz val="11"/>
      <x:name val="Carlito"/>
    </x:font>
    <x:font>
      <x:b/>
      <x:sz val="16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C6E0B4"/>
      </x:patternFill>
    </x:fill>
    <x:fill>
      <x:patternFill patternType="solid">
        <x:fgColor rgb="FFFCE4D6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</x:fills>
  <x:borders count="12"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8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0" fillId="5" borderId="10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0" fontId="0" fillId="5" borderId="11" xfId="0" applyNumberFormat="1" applyFont="1" applyFill="1" applyBorder="1" applyAlignment="1">
      <x:alignment vertical="center"/>
    </x:xf>
    <x:xf numFmtId="0" fontId="0" fillId="6" borderId="5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/>
    </x:xf>
    <x:xf numFmtId="0" fontId="0" fillId="6" borderId="10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5" borderId="5" xfId="0" applyNumberFormat="1" applyFont="1" applyFill="1" applyBorder="1" applyAlignment="1">
      <x:alignment vertical="center"/>
    </x:xf>
    <x:xf numFmtId="200" fontId="0" fillId="6" borderId="5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5" borderId="0" xfId="0" applyNumberFormat="1" applyFont="1" applyFill="1" applyBorder="1" applyAlignment="1">
      <x:alignment vertical="center"/>
    </x:xf>
    <x:xf numFmtId="200" fontId="0" fillId="6" borderId="0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0" fontId="0" fillId="5" borderId="10" xfId="0" applyNumberFormat="1" applyFont="1" applyFill="1" applyBorder="1" applyAlignment="1">
      <x:alignment vertical="center"/>
    </x:xf>
    <x:xf numFmtId="200" fontId="0" fillId="6" borderId="10" xfId="0" applyNumberFormat="1" applyFont="1" applyFill="1" applyBorder="1" applyAlignment="1">
      <x:alignment vertical="center"/>
    </x:xf>
    <x:xf numFmtId="201" fontId="0" fillId="6" borderId="5" xfId="0" applyNumberFormat="1" applyFont="1" applyFill="1" applyBorder="1" applyAlignment="1">
      <x:alignment vertical="center"/>
    </x:xf>
    <x:xf numFmtId="201" fontId="0" fillId="6" borderId="0" xfId="0" applyNumberFormat="1" applyFont="1" applyFill="1" applyBorder="1" applyAlignment="1">
      <x:alignment vertical="center"/>
    </x:xf>
    <x:xf numFmtId="201" fontId="0" fillId="6" borderId="10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5" borderId="11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200" fontId="0" fillId="6" borderId="5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200" fontId="0" fillId="6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201" fontId="0" fillId="6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6" borderId="4" xfId="0" applyNumberFormat="1" applyFont="1" applyFill="1" applyBorder="1" applyAlignment="1">
      <x:alignment vertical="center"/>
    </x:xf>
    <x:xf numFmtId="0" fontId="0" fillId="6" borderId="7" xfId="0" applyNumberFormat="1" applyFont="1" applyFill="1" applyBorder="1" applyAlignment="1">
      <x:alignment vertical="center"/>
    </x:xf>
    <x:xf numFmtId="0" fontId="0" fillId="6" borderId="9" xfId="0" applyNumberFormat="1" applyFont="1" applyFill="1" applyBorder="1" applyAlignment="1">
      <x:alignment vertical="center"/>
    </x:xf>
    <x:xf numFmtId="0" fontId="0" fillId="6" borderId="4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0" fillId="6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eadb79c3494650" /><Relationship Type="http://schemas.openxmlformats.org/officeDocument/2006/relationships/theme" Target="/xl/theme/theme1.xml" Id="R0a0394c015944883" /><Relationship Type="http://schemas.openxmlformats.org/officeDocument/2006/relationships/sharedStrings" Target="/xl/sharedStrings.xml" Id="R21b3fb8447da4171" /><Relationship Type="http://schemas.openxmlformats.org/officeDocument/2006/relationships/worksheet" Target="/xl/worksheets/sheet1.xml" Id="R3aad099ea0c349b0" /><Relationship Type="http://schemas.openxmlformats.org/officeDocument/2006/relationships/worksheet" Target="/xl/worksheets/sheet2.xml" Id="Rad4af24f6be54e28" /><Relationship Type="http://schemas.openxmlformats.org/officeDocument/2006/relationships/worksheet" Target="/xl/worksheets/sheet3.xml" Id="Rc065b1e7f79543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14" hidden="0" customWidth="1"/>
    <x:col min="4" max="4" width="19" hidden="0" customWidth="1"/>
    <x:col min="5" max="5" width="20" hidden="0" customWidth="1"/>
    <x:col min="6" max="6" width="16" hidden="0" customWidth="1"/>
    <x:col min="7" max="7" width="14" hidden="0" customWidth="1"/>
    <x:col min="8" max="8" width="22" hidden="0" customWidth="1"/>
    <x:col min="9" max="9" width="17" hidden="0" customWidth="1"/>
    <x:col min="10" max="10" width="17" hidden="0" customWidth="1"/>
    <x:col min="11" max="11" width="36" hidden="0" customWidth="1"/>
  </x:cols>
  <x:sheetData>
    <x:row r="1" ht="28" customHeight="1">
      <x:c r="A1" s="9" t="str">
        <x:v>PENGUJIAN FAKTOR KALIBRASI TINGGI</x:v>
      </x:c>
      <x:c r="B1" s="10" t="str">
        <x:v>PENGUJIAN FAKTOR KALIBRASI TINGGI</x:v>
      </x:c>
      <x:c r="C1" s="10" t="str">
        <x:v>PENGUJIAN FAKTOR KALIBRASI TINGGI</x:v>
      </x:c>
      <x:c r="D1" s="10" t="str">
        <x:v>PENGUJIAN FAKTOR KALIBRASI TINGGI</x:v>
      </x:c>
      <x:c r="E1" s="10" t="str">
        <x:v>PENGUJIAN FAKTOR KALIBRASI TINGGI</x:v>
      </x:c>
      <x:c r="F1" s="10" t="str">
        <x:v>PENGUJIAN FAKTOR KALIBRASI TINGGI</x:v>
      </x:c>
      <x:c r="G1" s="10" t="str">
        <x:v>PENGUJIAN FAKTOR KALIBRASI TINGGI</x:v>
      </x:c>
      <x:c r="H1" s="10" t="str">
        <x:v>PENGUJIAN FAKTOR KALIBRASI TINGGI</x:v>
      </x:c>
      <x:c r="I1" s="10" t="str">
        <x:v>PENGUJIAN FAKTOR KALIBRASI TINGGI</x:v>
      </x:c>
      <x:c r="J1" s="10" t="str">
        <x:v>PENGUJIAN FAKTOR KALIBRASI TINGGI</x:v>
      </x:c>
      <x:c r="K1" s="11" t="str">
        <x:v>PENGUJIAN FAKTOR KALIBRASI TINGGI</x:v>
      </x:c>
    </x:row>
    <x:row r="2">
      <x:c r="A2" s="14" t="str">
        <x:v>Sebelum mengambil data, tetapkan HEIGHT_CALIBRATION_FACTOR = 1.000. C01–C10 untuk mencari faktor; C11–C15 hanya untuk validasi.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</x:row>
    <x:row r="4" ht="42" customHeight="1">
      <x:c r="A4" s="26" t="str">
        <x:v>No.</x:v>
      </x:c>
      <x:c r="B4" s="27" t="str">
        <x:v>Kode</x:v>
      </x:c>
      <x:c r="C4" s="27" t="str">
        <x:v>Kelompok</x:v>
      </x:c>
      <x:c r="D4" s="27" t="str">
        <x:v>Tinggi sebenarnya (cm)</x:v>
      </x:c>
      <x:c r="E4" s="27" t="str">
        <x:v>Tinggi mentah aplikasi (cm)</x:v>
      </x:c>
      <x:c r="F4" s="27" t="str">
        <x:v>Faktor per data</x:v>
      </x:c>
      <x:c r="G4" s="27" t="str">
        <x:v>Faktor final</x:v>
      </x:c>
      <x:c r="H4" s="27" t="str">
        <x:v>Tinggi setelah kalibrasi (cm)</x:v>
      </x:c>
      <x:c r="I4" s="27" t="str">
        <x:v>Galat absolut (cm)</x:v>
      </x:c>
      <x:c r="J4" s="27" t="str">
        <x:v>Galat relatif (%)</x:v>
      </x:c>
      <x:c r="K4" s="28" t="str">
        <x:v>Catatan</x:v>
      </x:c>
    </x:row>
    <x:row r="5">
      <x:c r="A5" s="38" t="n">
        <x:v>1</x:v>
      </x:c>
      <x:c r="B5" s="39" t="str">
        <x:v>C01</x:v>
      </x:c>
      <x:c r="C5" s="39" t="str">
        <x:v>Kalibrasi</x:v>
      </x:c>
      <x:c r="D5" s="56" t="n">
        <x:v>169</x:v>
      </x:c>
      <x:c r="E5" s="57"/>
      <x:c r="F5" s="58" t="str">
        <x:f>IF(OR(C5&lt;&gt;"Kalibrasi",E5="",E5=0),"",D5/E5)</x:f>
      </x:c>
      <x:c r="G5" s="58" t="str">
        <x:f>'Ringkasan'!B4</x:f>
      </x:c>
      <x:c r="H5" s="58" t="str">
        <x:f>IF(OR(E5="",G5=""),"",E5*G5)</x:f>
      </x:c>
      <x:c r="I5" s="58" t="str">
        <x:f>IF(H5="","",ABS(H5-D5))</x:f>
      </x:c>
      <x:c r="J5" s="65" t="str">
        <x:f>IF(OR(I5="",D5=0),"",I5/D5)</x:f>
      </x:c>
      <x:c r="K5" s="68"/>
    </x:row>
    <x:row r="6">
      <x:c r="A6" s="41" t="n">
        <x:v>2</x:v>
      </x:c>
      <x:c r="B6" s="42" t="str">
        <x:v>C02</x:v>
      </x:c>
      <x:c r="C6" s="42" t="str">
        <x:v>Kalibrasi</x:v>
      </x:c>
      <x:c r="D6" s="59" t="n">
        <x:v>160</x:v>
      </x:c>
      <x:c r="E6" s="60"/>
      <x:c r="F6" s="61" t="str">
        <x:f>IF(OR(C6&lt;&gt;"Kalibrasi",E6="",E6=0),"",D6/E6)</x:f>
      </x:c>
      <x:c r="G6" s="61" t="str">
        <x:f>'Ringkasan'!B4</x:f>
      </x:c>
      <x:c r="H6" s="61" t="str">
        <x:f>IF(OR(E6="",G6=""),"",E6*G6)</x:f>
      </x:c>
      <x:c r="I6" s="61" t="str">
        <x:f>IF(H6="","",ABS(H6-D6))</x:f>
      </x:c>
      <x:c r="J6" s="66" t="str">
        <x:f>IF(OR(I6="",D6=0),"",I6/D6)</x:f>
      </x:c>
      <x:c r="K6" s="69"/>
    </x:row>
    <x:row r="7">
      <x:c r="A7" s="41" t="n">
        <x:v>3</x:v>
      </x:c>
      <x:c r="B7" s="42" t="str">
        <x:v>C03</x:v>
      </x:c>
      <x:c r="C7" s="42" t="str">
        <x:v>Kalibrasi</x:v>
      </x:c>
      <x:c r="D7" s="59" t="n">
        <x:v>168</x:v>
      </x:c>
      <x:c r="E7" s="60"/>
      <x:c r="F7" s="61" t="str">
        <x:f>IF(OR(C7&lt;&gt;"Kalibrasi",E7="",E7=0),"",D7/E7)</x:f>
      </x:c>
      <x:c r="G7" s="61" t="str">
        <x:f>'Ringkasan'!B4</x:f>
      </x:c>
      <x:c r="H7" s="61" t="str">
        <x:f>IF(OR(E7="",G7=""),"",E7*G7)</x:f>
      </x:c>
      <x:c r="I7" s="61" t="str">
        <x:f>IF(H7="","",ABS(H7-D7))</x:f>
      </x:c>
      <x:c r="J7" s="66" t="str">
        <x:f>IF(OR(I7="",D7=0),"",I7/D7)</x:f>
      </x:c>
      <x:c r="K7" s="69"/>
    </x:row>
    <x:row r="8">
      <x:c r="A8" s="41" t="n">
        <x:v>4</x:v>
      </x:c>
      <x:c r="B8" s="42" t="str">
        <x:v>C04</x:v>
      </x:c>
      <x:c r="C8" s="42" t="str">
        <x:v>Kalibrasi</x:v>
      </x:c>
      <x:c r="D8" s="59" t="n">
        <x:v>153</x:v>
      </x:c>
      <x:c r="E8" s="60"/>
      <x:c r="F8" s="61" t="str">
        <x:f>IF(OR(C8&lt;&gt;"Kalibrasi",E8="",E8=0),"",D8/E8)</x:f>
      </x:c>
      <x:c r="G8" s="61" t="str">
        <x:f>'Ringkasan'!B4</x:f>
      </x:c>
      <x:c r="H8" s="61" t="str">
        <x:f>IF(OR(E8="",G8=""),"",E8*G8)</x:f>
      </x:c>
      <x:c r="I8" s="61" t="str">
        <x:f>IF(H8="","",ABS(H8-D8))</x:f>
      </x:c>
      <x:c r="J8" s="66" t="str">
        <x:f>IF(OR(I8="",D8=0),"",I8/D8)</x:f>
      </x:c>
      <x:c r="K8" s="69"/>
    </x:row>
    <x:row r="9">
      <x:c r="A9" s="41" t="n">
        <x:v>5</x:v>
      </x:c>
      <x:c r="B9" s="42" t="str">
        <x:v>C05</x:v>
      </x:c>
      <x:c r="C9" s="42" t="str">
        <x:v>Kalibrasi</x:v>
      </x:c>
      <x:c r="D9" s="59" t="n">
        <x:v>164</x:v>
      </x:c>
      <x:c r="E9" s="60"/>
      <x:c r="F9" s="61" t="str">
        <x:f>IF(OR(C9&lt;&gt;"Kalibrasi",E9="",E9=0),"",D9/E9)</x:f>
      </x:c>
      <x:c r="G9" s="61" t="str">
        <x:f>'Ringkasan'!B4</x:f>
      </x:c>
      <x:c r="H9" s="61" t="str">
        <x:f>IF(OR(E9="",G9=""),"",E9*G9)</x:f>
      </x:c>
      <x:c r="I9" s="61" t="str">
        <x:f>IF(H9="","",ABS(H9-D9))</x:f>
      </x:c>
      <x:c r="J9" s="66" t="str">
        <x:f>IF(OR(I9="",D9=0),"",I9/D9)</x:f>
      </x:c>
      <x:c r="K9" s="69"/>
    </x:row>
    <x:row r="10">
      <x:c r="A10" s="41" t="n">
        <x:v>6</x:v>
      </x:c>
      <x:c r="B10" s="42" t="str">
        <x:v>C06</x:v>
      </x:c>
      <x:c r="C10" s="42" t="str">
        <x:v>Kalibrasi</x:v>
      </x:c>
      <x:c r="D10" s="59" t="n">
        <x:v>167</x:v>
      </x:c>
      <x:c r="E10" s="60"/>
      <x:c r="F10" s="61" t="str">
        <x:f>IF(OR(C10&lt;&gt;"Kalibrasi",E10="",E10=0),"",D10/E10)</x:f>
      </x:c>
      <x:c r="G10" s="61" t="str">
        <x:f>'Ringkasan'!B4</x:f>
      </x:c>
      <x:c r="H10" s="61" t="str">
        <x:f>IF(OR(E10="",G10=""),"",E10*G10)</x:f>
      </x:c>
      <x:c r="I10" s="61" t="str">
        <x:f>IF(H10="","",ABS(H10-D10))</x:f>
      </x:c>
      <x:c r="J10" s="66" t="str">
        <x:f>IF(OR(I10="",D10=0),"",I10/D10)</x:f>
      </x:c>
      <x:c r="K10" s="69"/>
    </x:row>
    <x:row r="11">
      <x:c r="A11" s="41" t="n">
        <x:v>7</x:v>
      </x:c>
      <x:c r="B11" s="42" t="str">
        <x:v>C07</x:v>
      </x:c>
      <x:c r="C11" s="42" t="str">
        <x:v>Kalibrasi</x:v>
      </x:c>
      <x:c r="D11" s="59" t="n">
        <x:v>157</x:v>
      </x:c>
      <x:c r="E11" s="60"/>
      <x:c r="F11" s="61" t="str">
        <x:f>IF(OR(C11&lt;&gt;"Kalibrasi",E11="",E11=0),"",D11/E11)</x:f>
      </x:c>
      <x:c r="G11" s="61" t="str">
        <x:f>'Ringkasan'!B4</x:f>
      </x:c>
      <x:c r="H11" s="61" t="str">
        <x:f>IF(OR(E11="",G11=""),"",E11*G11)</x:f>
      </x:c>
      <x:c r="I11" s="61" t="str">
        <x:f>IF(H11="","",ABS(H11-D11))</x:f>
      </x:c>
      <x:c r="J11" s="66" t="str">
        <x:f>IF(OR(I11="",D11=0),"",I11/D11)</x:f>
      </x:c>
      <x:c r="K11" s="69"/>
    </x:row>
    <x:row r="12">
      <x:c r="A12" s="41" t="n">
        <x:v>8</x:v>
      </x:c>
      <x:c r="B12" s="42" t="str">
        <x:v>C08</x:v>
      </x:c>
      <x:c r="C12" s="42" t="str">
        <x:v>Kalibrasi</x:v>
      </x:c>
      <x:c r="D12" s="59" t="n">
        <x:v>152</x:v>
      </x:c>
      <x:c r="E12" s="60"/>
      <x:c r="F12" s="61" t="str">
        <x:f>IF(OR(C12&lt;&gt;"Kalibrasi",E12="",E12=0),"",D12/E12)</x:f>
      </x:c>
      <x:c r="G12" s="61" t="str">
        <x:f>'Ringkasan'!B4</x:f>
      </x:c>
      <x:c r="H12" s="61" t="str">
        <x:f>IF(OR(E12="",G12=""),"",E12*G12)</x:f>
      </x:c>
      <x:c r="I12" s="61" t="str">
        <x:f>IF(H12="","",ABS(H12-D12))</x:f>
      </x:c>
      <x:c r="J12" s="66" t="str">
        <x:f>IF(OR(I12="",D12=0),"",I12/D12)</x:f>
      </x:c>
      <x:c r="K12" s="69"/>
    </x:row>
    <x:row r="13">
      <x:c r="A13" s="41" t="n">
        <x:v>9</x:v>
      </x:c>
      <x:c r="B13" s="42" t="str">
        <x:v>C09</x:v>
      </x:c>
      <x:c r="C13" s="42" t="str">
        <x:v>Kalibrasi</x:v>
      </x:c>
      <x:c r="D13" s="59" t="n">
        <x:v>166</x:v>
      </x:c>
      <x:c r="E13" s="60"/>
      <x:c r="F13" s="61" t="str">
        <x:f>IF(OR(C13&lt;&gt;"Kalibrasi",E13="",E13=0),"",D13/E13)</x:f>
      </x:c>
      <x:c r="G13" s="61" t="str">
        <x:f>'Ringkasan'!B4</x:f>
      </x:c>
      <x:c r="H13" s="61" t="str">
        <x:f>IF(OR(E13="",G13=""),"",E13*G13)</x:f>
      </x:c>
      <x:c r="I13" s="61" t="str">
        <x:f>IF(H13="","",ABS(H13-D13))</x:f>
      </x:c>
      <x:c r="J13" s="66" t="str">
        <x:f>IF(OR(I13="",D13=0),"",I13/D13)</x:f>
      </x:c>
      <x:c r="K13" s="69"/>
    </x:row>
    <x:row r="14">
      <x:c r="A14" s="41" t="n">
        <x:v>10</x:v>
      </x:c>
      <x:c r="B14" s="42" t="str">
        <x:v>C10</x:v>
      </x:c>
      <x:c r="C14" s="42" t="str">
        <x:v>Kalibrasi</x:v>
      </x:c>
      <x:c r="D14" s="59" t="n">
        <x:v>165</x:v>
      </x:c>
      <x:c r="E14" s="60"/>
      <x:c r="F14" s="61" t="str">
        <x:f>IF(OR(C14&lt;&gt;"Kalibrasi",E14="",E14=0),"",D14/E14)</x:f>
      </x:c>
      <x:c r="G14" s="61" t="str">
        <x:f>'Ringkasan'!B4</x:f>
      </x:c>
      <x:c r="H14" s="61" t="str">
        <x:f>IF(OR(E14="",G14=""),"",E14*G14)</x:f>
      </x:c>
      <x:c r="I14" s="61" t="str">
        <x:f>IF(H14="","",ABS(H14-D14))</x:f>
      </x:c>
      <x:c r="J14" s="66" t="str">
        <x:f>IF(OR(I14="",D14=0),"",I14/D14)</x:f>
      </x:c>
      <x:c r="K14" s="69"/>
    </x:row>
    <x:row r="15">
      <x:c r="A15" s="41" t="n">
        <x:v>11</x:v>
      </x:c>
      <x:c r="B15" s="42" t="str">
        <x:v>C11</x:v>
      </x:c>
      <x:c r="C15" s="42" t="str">
        <x:v>Validasi</x:v>
      </x:c>
      <x:c r="D15" s="59" t="n">
        <x:v>166</x:v>
      </x:c>
      <x:c r="E15" s="60"/>
      <x:c r="F15" s="61" t="str">
        <x:f>IF(OR(C15&lt;&gt;"Kalibrasi",E15="",E15=0),"",D15/E15)</x:f>
      </x:c>
      <x:c r="G15" s="61" t="str">
        <x:f>'Ringkasan'!B4</x:f>
      </x:c>
      <x:c r="H15" s="61" t="str">
        <x:f>IF(OR(E15="",G15=""),"",E15*G15)</x:f>
      </x:c>
      <x:c r="I15" s="61" t="str">
        <x:f>IF(H15="","",ABS(H15-D15))</x:f>
      </x:c>
      <x:c r="J15" s="66" t="str">
        <x:f>IF(OR(I15="",D15=0),"",I15/D15)</x:f>
      </x:c>
      <x:c r="K15" s="69"/>
    </x:row>
    <x:row r="16">
      <x:c r="A16" s="41" t="n">
        <x:v>12</x:v>
      </x:c>
      <x:c r="B16" s="42" t="str">
        <x:v>C12</x:v>
      </x:c>
      <x:c r="C16" s="42" t="str">
        <x:v>Validasi</x:v>
      </x:c>
      <x:c r="D16" s="59" t="n">
        <x:v>162</x:v>
      </x:c>
      <x:c r="E16" s="60"/>
      <x:c r="F16" s="61" t="str">
        <x:f>IF(OR(C16&lt;&gt;"Kalibrasi",E16="",E16=0),"",D16/E16)</x:f>
      </x:c>
      <x:c r="G16" s="61" t="str">
        <x:f>'Ringkasan'!B4</x:f>
      </x:c>
      <x:c r="H16" s="61" t="str">
        <x:f>IF(OR(E16="",G16=""),"",E16*G16)</x:f>
      </x:c>
      <x:c r="I16" s="61" t="str">
        <x:f>IF(H16="","",ABS(H16-D16))</x:f>
      </x:c>
      <x:c r="J16" s="66" t="str">
        <x:f>IF(OR(I16="",D16=0),"",I16/D16)</x:f>
      </x:c>
      <x:c r="K16" s="69"/>
    </x:row>
    <x:row r="17">
      <x:c r="A17" s="41" t="n">
        <x:v>13</x:v>
      </x:c>
      <x:c r="B17" s="42" t="str">
        <x:v>C13</x:v>
      </x:c>
      <x:c r="C17" s="42" t="str">
        <x:v>Validasi</x:v>
      </x:c>
      <x:c r="D17" s="59" t="n">
        <x:v>164</x:v>
      </x:c>
      <x:c r="E17" s="60"/>
      <x:c r="F17" s="61" t="str">
        <x:f>IF(OR(C17&lt;&gt;"Kalibrasi",E17="",E17=0),"",D17/E17)</x:f>
      </x:c>
      <x:c r="G17" s="61" t="str">
        <x:f>'Ringkasan'!B4</x:f>
      </x:c>
      <x:c r="H17" s="61" t="str">
        <x:f>IF(OR(E17="",G17=""),"",E17*G17)</x:f>
      </x:c>
      <x:c r="I17" s="61" t="str">
        <x:f>IF(H17="","",ABS(H17-D17))</x:f>
      </x:c>
      <x:c r="J17" s="66" t="str">
        <x:f>IF(OR(I17="",D17=0),"",I17/D17)</x:f>
      </x:c>
      <x:c r="K17" s="69"/>
    </x:row>
    <x:row r="18">
      <x:c r="A18" s="41" t="n">
        <x:v>14</x:v>
      </x:c>
      <x:c r="B18" s="42" t="str">
        <x:v>C14</x:v>
      </x:c>
      <x:c r="C18" s="42" t="str">
        <x:v>Validasi</x:v>
      </x:c>
      <x:c r="D18" s="59" t="n">
        <x:v>161</x:v>
      </x:c>
      <x:c r="E18" s="60"/>
      <x:c r="F18" s="61" t="str">
        <x:f>IF(OR(C18&lt;&gt;"Kalibrasi",E18="",E18=0),"",D18/E18)</x:f>
      </x:c>
      <x:c r="G18" s="61" t="str">
        <x:f>'Ringkasan'!B4</x:f>
      </x:c>
      <x:c r="H18" s="61" t="str">
        <x:f>IF(OR(E18="",G18=""),"",E18*G18)</x:f>
      </x:c>
      <x:c r="I18" s="61" t="str">
        <x:f>IF(H18="","",ABS(H18-D18))</x:f>
      </x:c>
      <x:c r="J18" s="66" t="str">
        <x:f>IF(OR(I18="",D18=0),"",I18/D18)</x:f>
      </x:c>
      <x:c r="K18" s="69"/>
    </x:row>
    <x:row r="19">
      <x:c r="A19" s="44" t="n">
        <x:v>15</x:v>
      </x:c>
      <x:c r="B19" s="45" t="str">
        <x:v>C15</x:v>
      </x:c>
      <x:c r="C19" s="45" t="str">
        <x:v>Validasi</x:v>
      </x:c>
      <x:c r="D19" s="62" t="n">
        <x:v>175</x:v>
      </x:c>
      <x:c r="E19" s="63"/>
      <x:c r="F19" s="64" t="str">
        <x:f>IF(OR(C19&lt;&gt;"Kalibrasi",E19="",E19=0),"",D19/E19)</x:f>
      </x:c>
      <x:c r="G19" s="64" t="str">
        <x:f>'Ringkasan'!B4</x:f>
      </x:c>
      <x:c r="H19" s="64" t="str">
        <x:f>IF(OR(E19="",G19=""),"",E19*G19)</x:f>
      </x:c>
      <x:c r="I19" s="64" t="str">
        <x:f>IF(H19="","",ABS(H19-D19))</x:f>
      </x:c>
      <x:c r="J19" s="67" t="str">
        <x:f>IF(OR(I19="",D19=0),"",I19/D19)</x:f>
      </x:c>
      <x:c r="K19" s="70"/>
    </x:row>
  </x:sheetData>
  <x:mergeCells>
    <x:mergeCell ref="A1:K1"/>
    <x:mergeCell ref="A2:K2"/>
  </x:mergeCells>
  <x:conditionalFormatting sqref="I5:I19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7" hidden="0" customWidth="1"/>
    <x:col min="3" max="3" width="13" hidden="0" customWidth="1"/>
    <x:col min="4" max="4" width="50" hidden="0" customWidth="1"/>
  </x:cols>
  <x:sheetData>
    <x:row r="1" ht="28" customHeight="1">
      <x:c r="A1" s="9" t="str">
        <x:v>RINGKASAN FAKTOR KALIBRASI</x:v>
      </x:c>
      <x:c r="B1" s="10" t="str">
        <x:v>RINGKASAN FAKTOR KALIBRASI</x:v>
      </x:c>
      <x:c r="C1" s="10" t="str">
        <x:v>RINGKASAN FAKTOR KALIBRASI</x:v>
      </x:c>
      <x:c r="D1" s="11" t="str">
        <x:v>RINGKASAN FAKTOR KALIBRASI</x:v>
      </x:c>
    </x:row>
    <x:row r="3" ht="42" customHeight="1">
      <x:c r="A3" s="26" t="str">
        <x:v>Indikator</x:v>
      </x:c>
      <x:c r="B3" s="27" t="str">
        <x:v>Nilai</x:v>
      </x:c>
      <x:c r="C3" s="27" t="str">
        <x:v>Satuan</x:v>
      </x:c>
      <x:c r="D3" s="28" t="str">
        <x:v>Keterangan</x:v>
      </x:c>
    </x:row>
    <x:row r="4">
      <x:c r="A4" s="71" t="str">
        <x:v>Faktor kalibrasi final</x:v>
      </x:c>
      <x:c r="B4" s="72" t="str">
        <x:f>IF(COUNT('Data Kalibrasi'!F5:F14)=0,"",AVERAGE('Data Kalibrasi'!F5:F14))</x:f>
      </x:c>
      <x:c r="C4" s="73" t="str">
        <x:v>rasio</x:v>
      </x:c>
      <x:c r="D4" s="74" t="str">
        <x:v>Rata-rata faktor C01–C10</x:v>
      </x:c>
    </x:row>
    <x:row r="5">
      <x:c r="A5" s="75" t="str">
        <x:v>Jumlah data kalibrasi</x:v>
      </x:c>
      <x:c r="B5" s="76" t="n">
        <x:f>COUNT('Data Kalibrasi'!E5:E14)</x:f>
        <x:v>0</x:v>
      </x:c>
      <x:c r="C5" s="77" t="str">
        <x:v>data</x:v>
      </x:c>
      <x:c r="D5" s="78" t="str">
        <x:v>Harus 10</x:v>
      </x:c>
    </x:row>
    <x:row r="6">
      <x:c r="A6" s="75" t="str">
        <x:v>Jumlah data validasi</x:v>
      </x:c>
      <x:c r="B6" s="76" t="n">
        <x:f>COUNT('Data Kalibrasi'!E15:E19)</x:f>
        <x:v>0</x:v>
      </x:c>
      <x:c r="C6" s="77" t="str">
        <x:v>data</x:v>
      </x:c>
      <x:c r="D6" s="78" t="str">
        <x:v>Harus 5</x:v>
      </x:c>
    </x:row>
    <x:row r="7">
      <x:c r="A7" s="75" t="str">
        <x:v>Faktor minimum</x:v>
      </x:c>
      <x:c r="B7" s="76" t="str">
        <x:f>IF(B5=0,"",MIN('Data Kalibrasi'!F5:F14))</x:f>
      </x:c>
      <x:c r="C7" s="77" t="str">
        <x:v>rasio</x:v>
      </x:c>
      <x:c r="D7" s="78" t="str">
        <x:v>Data kalibrasi</x:v>
      </x:c>
    </x:row>
    <x:row r="8">
      <x:c r="A8" s="75" t="str">
        <x:v>Faktor maksimum</x:v>
      </x:c>
      <x:c r="B8" s="76" t="str">
        <x:f>IF(B5=0,"",MAX('Data Kalibrasi'!F5:F14))</x:f>
      </x:c>
      <x:c r="C8" s="77" t="str">
        <x:v>rasio</x:v>
      </x:c>
      <x:c r="D8" s="78" t="str">
        <x:v>Data kalibrasi</x:v>
      </x:c>
    </x:row>
    <x:row r="9">
      <x:c r="A9" s="75" t="str">
        <x:v>Simpangan baku faktor</x:v>
      </x:c>
      <x:c r="B9" s="76" t="str">
        <x:f>IF(B5&lt;2,"",STDEV.S('Data Kalibrasi'!F5:F14))</x:f>
      </x:c>
      <x:c r="C9" s="77" t="str">
        <x:v>rasio</x:v>
      </x:c>
      <x:c r="D9" s="78" t="str">
        <x:v>Konsistensi faktor</x:v>
      </x:c>
    </x:row>
    <x:row r="10">
      <x:c r="A10" s="75" t="str">
        <x:v>MAE kalibrasi</x:v>
      </x:c>
      <x:c r="B10" s="76" t="str">
        <x:f>IF(B5=0,"",AVERAGE('Data Kalibrasi'!I5:I14))</x:f>
      </x:c>
      <x:c r="C10" s="77" t="str">
        <x:v>cm</x:v>
      </x:c>
      <x:c r="D10" s="78" t="str">
        <x:v>Informasi data pembentuk faktor</x:v>
      </x:c>
    </x:row>
    <x:row r="11">
      <x:c r="A11" s="75" t="str">
        <x:v>MAE validasi</x:v>
      </x:c>
      <x:c r="B11" s="76" t="str">
        <x:f>IF(B6=0,"",AVERAGE('Data Kalibrasi'!I15:I19))</x:f>
      </x:c>
      <x:c r="C11" s="77" t="str">
        <x:v>cm</x:v>
      </x:c>
      <x:c r="D11" s="78" t="str">
        <x:v>Hasil utama pada foto yang tidak dipakai mencari faktor</x:v>
      </x:c>
    </x:row>
    <x:row r="12">
      <x:c r="A12" s="79" t="str">
        <x:v>Rata-rata galat relatif validasi</x:v>
      </x:c>
      <x:c r="B12" s="80" t="str">
        <x:f>IF(B6=0,"",AVERAGE('Data Kalibrasi'!J15:J19))</x:f>
      </x:c>
      <x:c r="C12" s="81" t="str">
        <x:v>%</x:v>
      </x:c>
      <x:c r="D12" s="82" t="str">
        <x:v>Hasil utama validasi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2" hidden="0" customWidth="1"/>
    <x:col min="3" max="3" width="44" hidden="0" customWidth="1"/>
    <x:col min="4" max="4" width="32" hidden="0" customWidth="1"/>
  </x:cols>
  <x:sheetData>
    <x:row r="1" ht="28" customHeight="1">
      <x:c r="A1" s="9" t="str">
        <x:v>PETUNJUK PENGUJIAN KALIBRASI</x:v>
      </x:c>
      <x:c r="B1" s="10" t="str">
        <x:v>PETUNJUK PENGUJIAN KALIBRASI</x:v>
      </x:c>
      <x:c r="C1" s="10" t="str">
        <x:v>PETUNJUK PENGUJIAN KALIBRASI</x:v>
      </x:c>
      <x:c r="D1" s="11" t="str">
        <x:v>PETUNJUK PENGUJIAN KALIBRASI</x:v>
      </x:c>
    </x:row>
    <x:row r="3" ht="42" customHeight="1">
      <x:c r="A3" s="26" t="str">
        <x:v>Langkah</x:v>
      </x:c>
      <x:c r="B3" s="27" t="str">
        <x:v>Tindakan</x:v>
      </x:c>
      <x:c r="C3" s="27" t="str">
        <x:v>Alasan</x:v>
      </x:c>
      <x:c r="D3" s="28" t="str">
        <x:v>Hasil</x:v>
      </x:c>
    </x:row>
    <x:row r="4">
      <x:c r="A4" s="86" t="n">
        <x:v>1</x:v>
      </x:c>
      <x:c r="B4" s="73" t="str">
        <x:v>Pilih dan kunci koefisien kepala terbaik serta PX_PER_CELL 120.</x:v>
      </x:c>
      <x:c r="C4" s="73" t="str">
        <x:v>Input geometri tidak boleh berubah.</x:v>
      </x:c>
      <x:c r="D4" s="74" t="str">
        <x:v>Konfigurasi tetap</x:v>
      </x:c>
    </x:row>
    <x:row r="5">
      <x:c r="A5" s="87" t="n">
        <x:v>2</x:v>
      </x:c>
      <x:c r="B5" s="77" t="str">
        <x:v>Ubah HEIGHT_CALIBRATION_FACTOR menjadi 1.000 lalu build APK.</x:v>
      </x:c>
      <x:c r="C5" s="77" t="str">
        <x:v>Agar yang dicatat benar-benar tinggi mentah.</x:v>
      </x:c>
      <x:c r="D5" s="78" t="str">
        <x:v>APK tanpa koreksi kalibrasi</x:v>
      </x:c>
    </x:row>
    <x:row r="6">
      <x:c r="A6" s="87" t="n">
        <x:v>3</x:v>
      </x:c>
      <x:c r="B6" s="77" t="str">
        <x:v>Proses C01–C10 dan isi tinggi mentah.</x:v>
      </x:c>
      <x:c r="C6" s="77" t="str">
        <x:v>Dipakai membentuk faktor.</x:v>
      </x:c>
      <x:c r="D6" s="78" t="str">
        <x:v>10 faktor individual</x:v>
      </x:c>
    </x:row>
    <x:row r="7">
      <x:c r="A7" s="87" t="n">
        <x:v>4</x:v>
      </x:c>
      <x:c r="B7" s="77" t="str">
        <x:v>Faktor dihitung otomatis.</x:v>
      </x:c>
      <x:c r="C7" s="77" t="str">
        <x:v>Tinggi sebenarnya ÷ tinggi mentah.</x:v>
      </x:c>
      <x:c r="D7" s="78" t="str">
        <x:v>Faktor final rata-rata</x:v>
      </x:c>
    </x:row>
    <x:row r="8">
      <x:c r="A8" s="87" t="n">
        <x:v>5</x:v>
      </x:c>
      <x:c r="B8" s="77" t="str">
        <x:v>Masukkan faktor final ke kode dan build kembali.</x:v>
      </x:c>
      <x:c r="C8" s="77" t="str">
        <x:v>Mengaktifkan koreksi hasil.</x:v>
      </x:c>
      <x:c r="D8" s="78" t="str">
        <x:v>APK terkalibrasi</x:v>
      </x:c>
    </x:row>
    <x:row r="9">
      <x:c r="A9" s="87" t="n">
        <x:v>6</x:v>
      </x:c>
      <x:c r="B9" s="77" t="str">
        <x:v>Proses C11–C15 yang tidak dipakai membentuk faktor.</x:v>
      </x:c>
      <x:c r="C9" s="77" t="str">
        <x:v>Mencegah evaluasi pada data yang sama.</x:v>
      </x:c>
      <x:c r="D9" s="78" t="str">
        <x:v>MAE validasi</x:v>
      </x:c>
    </x:row>
    <x:row r="10">
      <x:c r="A10" s="88" t="n">
        <x:v>7</x:v>
      </x:c>
      <x:c r="B10" s="81" t="str">
        <x:v>Laporkan faktor final, simpangan baku, MAE dan galat relatif validasi.</x:v>
      </x:c>
      <x:c r="C10" s="81" t="str">
        <x:v>Agar hasil dapat dipertanggungjawabkan.</x:v>
      </x:c>
      <x:c r="D10" s="82" t="str">
        <x:v>Kesimpulan pengujian</x:v>
      </x:c>
    </x:row>
  </x:sheetData>
  <x:mergeCells>
    <x:mergeCell ref="A1:D1"/>
  </x:mergeCells>
  <x:pageMargins left="0.7" right="0.7" top="0.75" bottom="0.75" header="0.3" footer="0.3"/>
</x:worksheet>
</file>