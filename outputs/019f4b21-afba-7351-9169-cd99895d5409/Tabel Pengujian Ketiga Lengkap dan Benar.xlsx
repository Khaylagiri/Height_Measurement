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76128e42a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bf09e33b1ec483f"/>
    <x:sheet xmlns:r="http://schemas.openxmlformats.org/officeDocument/2006/relationships" name="PX 100" sheetId="2" r:id="R1fc41d63cd2f475e"/>
    <x:sheet xmlns:r="http://schemas.openxmlformats.org/officeDocument/2006/relationships" name="PX 120" sheetId="3" r:id="R75b4db0b423c4916"/>
    <x:sheet xmlns:r="http://schemas.openxmlformats.org/officeDocument/2006/relationships" name="PX 150" sheetId="4" r:id="R4d10d95affed4536"/>
    <x:sheet xmlns:r="http://schemas.openxmlformats.org/officeDocument/2006/relationships" name="Parameter Uji 3" sheetId="5" r:id="R570184186fcf44fa"/>
    <x:sheet xmlns:r="http://schemas.openxmlformats.org/officeDocument/2006/relationships" name="Pengujian Ketiga" sheetId="6" r:id="R3bdacc909a80472e"/>
    <x:sheet xmlns:r="http://schemas.openxmlformats.org/officeDocument/2006/relationships" name="Ringkasan Uji 3" sheetId="7" r:id="R90454b2563e845e1"/>
    <x:sheet xmlns:r="http://schemas.openxmlformats.org/officeDocument/2006/relationships" name="Petunjuk &amp; Kekurangan" sheetId="8" r:id="R4fce3d23617748f3"/>
    <x:sheet xmlns:r="http://schemas.openxmlformats.org/officeDocument/2006/relationships" name="Definisi Kolom" sheetId="9" r:id="Rda091110e92f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0.00000"/>
    <x:numFmt numFmtId="203" formatCode="0.0000"/>
    <x:numFmt numFmtId="204" formatCode="0.00"/>
    <x:numFmt numFmtId="205" formatCode="0.00%"/>
  </x:numFmts>
  <x:fonts count="6">
    <x:font>
      <x:sz val="11"/>
      <x:name val="Carlito"/>
    </x:font>
    <x:font>
      <x:b/>
      <x:sz val="16"/>
      <x:color rgb="FF00000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C6E0B4"/>
      </x:patternFill>
    </x:fill>
    <x:fill>
      <x:patternFill patternType="solid">
        <x:fgColor rgb="FF548235"/>
      </x:patternFill>
    </x:fill>
    <x:fill>
      <x:patternFill patternType="solid">
        <x:fgColor rgb="FFF2F7E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CEFE8"/>
      </x:patternFill>
    </x:fill>
    <x:fill>
      <x:patternFill patternType="solid">
        <x:fgColor rgb="FFC6E0B4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4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14" xfId="0" applyNumberFormat="1" applyFont="1" applyFill="1" applyBorder="1" applyAlignment="1">
      <x:alignment horizontal="center"/>
    </x:xf>
    <x:xf numFmtId="0" fontId="0" fillId="4" borderId="15" xfId="0" applyNumberFormat="1" applyFont="1" applyFill="1" applyBorder="1" applyAlignment="1">
      <x:alignment horizontal="center"/>
    </x:xf>
    <x:xf numFmtId="0" fontId="0" fillId="4" borderId="16" xfId="0" applyNumberFormat="1" applyFont="1" applyFill="1" applyBorder="1" applyAlignment="1">
      <x:alignment horizontal="center"/>
    </x:xf>
    <x:xf numFmtId="0" fontId="0" fillId="4" borderId="17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8" xfId="0" applyNumberFormat="1" applyFont="1" applyFill="1" applyBorder="1" applyAlignment="1">
      <x:alignment horizontal="center"/>
    </x:xf>
    <x:xf numFmtId="0" fontId="0" fillId="4" borderId="19" xfId="0" applyNumberFormat="1" applyFont="1" applyFill="1" applyBorder="1" applyAlignment="1">
      <x:alignment horizontal="center"/>
    </x:xf>
    <x:xf numFmtId="0" fontId="0" fillId="4" borderId="20" xfId="0" applyNumberFormat="1" applyFont="1" applyFill="1" applyBorder="1" applyAlignment="1">
      <x:alignment horizontal="center"/>
    </x:xf>
    <x:xf numFmtId="0" fontId="0" fillId="4" borderId="21" xfId="0" applyNumberFormat="1" applyFont="1" applyFill="1" applyBorder="1" applyAlignment="1">
      <x:alignment horizontal="center"/>
    </x:xf>
    <x:xf numFmtId="0" fontId="0" fillId="4" borderId="14" xfId="0" applyNumberFormat="1" applyFont="1" applyFill="1" applyBorder="1" applyAlignment="1">
      <x:alignment horizontal="center" vertical="center"/>
    </x:xf>
    <x:xf numFmtId="0" fontId="0" fillId="4" borderId="15" xfId="0" applyNumberFormat="1" applyFont="1" applyFill="1" applyBorder="1" applyAlignment="1">
      <x:alignment horizontal="center" vertical="center"/>
    </x:xf>
    <x:xf numFmtId="0" fontId="0" fillId="4" borderId="16" xfId="0" applyNumberFormat="1" applyFont="1" applyFill="1" applyBorder="1" applyAlignment="1">
      <x:alignment horizontal="center" vertical="center"/>
    </x:xf>
    <x:xf numFmtId="0" fontId="0" fillId="4" borderId="17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18" xfId="0" applyNumberFormat="1" applyFont="1" applyFill="1" applyBorder="1" applyAlignment="1">
      <x:alignment horizontal="center" vertical="center"/>
    </x:xf>
    <x:xf numFmtId="0" fontId="0" fillId="4" borderId="19" xfId="0" applyNumberFormat="1" applyFont="1" applyFill="1" applyBorder="1" applyAlignment="1">
      <x:alignment horizontal="center" vertical="center"/>
    </x:xf>
    <x:xf numFmtId="0" fontId="0" fillId="4" borderId="20" xfId="0" applyNumberFormat="1" applyFont="1" applyFill="1" applyBorder="1" applyAlignment="1">
      <x:alignment horizontal="center" vertical="center"/>
    </x:xf>
    <x:xf numFmtId="0" fontId="0" fillId="4" borderId="2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22" xfId="0" applyNumberFormat="1" applyFont="1" applyFill="1" applyBorder="1" applyAlignment="1">
      <x:alignment horizontal="center"/>
    </x:xf>
    <x:xf numFmtId="0" fontId="0" fillId="4" borderId="23" xfId="0" applyNumberFormat="1" applyFont="1" applyFill="1" applyBorder="1" applyAlignment="1">
      <x:alignment horizontal="center"/>
    </x:xf>
    <x:xf numFmtId="0" fontId="0" fillId="4" borderId="24" xfId="0" applyNumberFormat="1" applyFont="1" applyFill="1" applyBorder="1" applyAlignment="1">
      <x:alignment horizontal="center"/>
    </x:xf>
    <x:xf numFmtId="0" fontId="0" fillId="4" borderId="25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0" fontId="0" fillId="4" borderId="26" xfId="0" applyNumberFormat="1" applyFont="1" applyFill="1" applyBorder="1" applyAlignment="1">
      <x:alignment horizontal="center"/>
    </x:xf>
    <x:xf numFmtId="0" fontId="0" fillId="4" borderId="27" xfId="0" applyNumberFormat="1" applyFont="1" applyFill="1" applyBorder="1" applyAlignment="1">
      <x:alignment horizontal="center"/>
    </x:xf>
    <x:xf numFmtId="0" fontId="0" fillId="4" borderId="28" xfId="0" applyNumberFormat="1" applyFont="1" applyFill="1" applyBorder="1" applyAlignment="1">
      <x:alignment horizontal="center"/>
    </x:xf>
    <x:xf numFmtId="0" fontId="0" fillId="4" borderId="29" xfId="0" applyNumberFormat="1" applyFont="1" applyFill="1" applyBorder="1" applyAlignment="1">
      <x:alignment horizontal="center"/>
    </x:xf>
    <x:xf numFmtId="0" fontId="0" fillId="4" borderId="22" xfId="0" applyNumberFormat="1" applyFont="1" applyFill="1" applyBorder="1" applyAlignment="1">
      <x:alignment horizontal="center" vertical="center"/>
    </x:xf>
    <x:xf numFmtId="0" fontId="0" fillId="4" borderId="23" xfId="0" applyNumberFormat="1" applyFont="1" applyFill="1" applyBorder="1" applyAlignment="1">
      <x:alignment horizontal="center" vertical="center"/>
    </x:xf>
    <x:xf numFmtId="0" fontId="0" fillId="4" borderId="24" xfId="0" applyNumberFormat="1" applyFont="1" applyFill="1" applyBorder="1" applyAlignment="1">
      <x:alignment horizontal="center" vertical="center"/>
    </x:xf>
    <x:xf numFmtId="0" fontId="0" fillId="4" borderId="2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6" xfId="0" applyNumberFormat="1" applyFont="1" applyFill="1" applyBorder="1" applyAlignment="1">
      <x:alignment horizontal="center" vertical="center"/>
    </x:xf>
    <x:xf numFmtId="0" fontId="0" fillId="4" borderId="27" xfId="0" applyNumberFormat="1" applyFont="1" applyFill="1" applyBorder="1" applyAlignment="1">
      <x:alignment horizontal="center" vertical="center"/>
    </x:xf>
    <x:xf numFmtId="0" fontId="0" fillId="4" borderId="28" xfId="0" applyNumberFormat="1" applyFont="1" applyFill="1" applyBorder="1" applyAlignment="1">
      <x:alignment horizontal="center" vertical="center"/>
    </x:xf>
    <x:xf numFmtId="0" fontId="0" fillId="4" borderId="29" xfId="0" applyNumberFormat="1" applyFont="1" applyFill="1" applyBorder="1" applyAlignment="1">
      <x:alignment horizontal="center" vertical="center"/>
    </x:xf>
    <x:xf numFmtId="0" fontId="0" fillId="5" borderId="1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20" xfId="0" applyNumberFormat="1" applyFont="1" applyFill="1" applyBorder="1" applyAlignment="1">
      <x:alignment horizontal="center" vertical="center"/>
    </x:xf>
    <x:xf numFmtId="0" fontId="0" fillId="5" borderId="23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8" xfId="0" applyNumberFormat="1" applyFont="1" applyFill="1" applyBorder="1" applyAlignment="1">
      <x:alignment horizontal="center" vertical="center"/>
    </x:xf>
    <x:xf numFmtId="200" fontId="0" fillId="4" borderId="14" xfId="0" applyNumberFormat="1" applyFont="1" applyFill="1" applyBorder="1" applyAlignment="1">
      <x:alignment horizontal="center" vertical="center"/>
    </x:xf>
    <x:xf numFmtId="200" fontId="0" fillId="4" borderId="15" xfId="0" applyNumberFormat="1" applyFont="1" applyFill="1" applyBorder="1" applyAlignment="1">
      <x:alignment horizontal="center" vertical="center"/>
    </x:xf>
    <x:xf numFmtId="200" fontId="0" fillId="5" borderId="15" xfId="0" applyNumberFormat="1" applyFont="1" applyFill="1" applyBorder="1" applyAlignment="1">
      <x:alignment horizontal="center" vertical="center"/>
    </x:xf>
    <x:xf numFmtId="200" fontId="0" fillId="4" borderId="17" xfId="0" applyNumberFormat="1" applyFont="1" applyFill="1" applyBorder="1" applyAlignment="1">
      <x:alignment horizontal="center" vertical="center"/>
    </x:xf>
    <x:xf numFmtId="200" fontId="0" fillId="4" borderId="0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4" borderId="19" xfId="0" applyNumberFormat="1" applyFont="1" applyFill="1" applyBorder="1" applyAlignment="1">
      <x:alignment horizontal="center" vertical="center"/>
    </x:xf>
    <x:xf numFmtId="200" fontId="0" fillId="4" borderId="20" xfId="0" applyNumberFormat="1" applyFont="1" applyFill="1" applyBorder="1" applyAlignment="1">
      <x:alignment horizontal="center" vertical="center"/>
    </x:xf>
    <x:xf numFmtId="200" fontId="0" fillId="5" borderId="20" xfId="0" applyNumberFormat="1" applyFont="1" applyFill="1" applyBorder="1" applyAlignment="1">
      <x:alignment horizontal="center" vertical="center"/>
    </x:xf>
    <x:xf numFmtId="200" fontId="0" fillId="4" borderId="22" xfId="0" applyNumberFormat="1" applyFont="1" applyFill="1" applyBorder="1" applyAlignment="1">
      <x:alignment horizontal="center" vertical="center"/>
    </x:xf>
    <x:xf numFmtId="200" fontId="0" fillId="4" borderId="23" xfId="0" applyNumberFormat="1" applyFont="1" applyFill="1" applyBorder="1" applyAlignment="1">
      <x:alignment horizontal="center" vertical="center"/>
    </x:xf>
    <x:xf numFmtId="200" fontId="0" fillId="5" borderId="23" xfId="0" applyNumberFormat="1" applyFont="1" applyFill="1" applyBorder="1" applyAlignment="1">
      <x:alignment horizontal="center" vertical="center"/>
    </x:xf>
    <x:xf numFmtId="200" fontId="0" fillId="4" borderId="25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200" fontId="0" fillId="4" borderId="27" xfId="0" applyNumberFormat="1" applyFont="1" applyFill="1" applyBorder="1" applyAlignment="1">
      <x:alignment horizontal="center" vertical="center"/>
    </x:xf>
    <x:xf numFmtId="200" fontId="0" fillId="4" borderId="28" xfId="0" applyNumberFormat="1" applyFont="1" applyFill="1" applyBorder="1" applyAlignment="1">
      <x:alignment horizontal="center" vertical="center"/>
    </x:xf>
    <x:xf numFmtId="200" fontId="0" fillId="5" borderId="28" xfId="0" applyNumberFormat="1" applyFont="1" applyFill="1" applyBorder="1" applyAlignment="1">
      <x:alignment horizontal="center" vertical="center"/>
    </x:xf>
    <x:xf numFmtId="201" fontId="0" fillId="4" borderId="15" xfId="0" applyNumberFormat="1" applyFont="1" applyFill="1" applyBorder="1" applyAlignment="1">
      <x:alignment horizontal="center" vertical="center"/>
    </x:xf>
    <x:xf numFmtId="201" fontId="0" fillId="4" borderId="0" xfId="0" applyNumberFormat="1" applyFont="1" applyFill="1" applyBorder="1" applyAlignment="1">
      <x:alignment horizontal="center" vertical="center"/>
    </x:xf>
    <x:xf numFmtId="201" fontId="0" fillId="4" borderId="20" xfId="0" applyNumberFormat="1" applyFont="1" applyFill="1" applyBorder="1" applyAlignment="1">
      <x:alignment horizontal="center" vertical="center"/>
    </x:xf>
    <x:xf numFmtId="201" fontId="0" fillId="4" borderId="23" xfId="0" applyNumberFormat="1" applyFont="1" applyFill="1" applyBorder="1" applyAlignment="1">
      <x:alignment horizontal="center" vertical="center"/>
    </x:xf>
    <x:xf numFmtId="201" fontId="0" fillId="4" borderId="1" xfId="0" applyNumberFormat="1" applyFont="1" applyFill="1" applyBorder="1" applyAlignment="1">
      <x:alignment horizontal="center" vertical="center"/>
    </x:xf>
    <x:xf numFmtId="201" fontId="0" fillId="4" borderId="28" xfId="0" applyNumberFormat="1" applyFont="1" applyFill="1" applyBorder="1" applyAlignment="1">
      <x:alignment horizontal="center" vertical="center"/>
    </x:xf>
    <x:xf numFmtId="202" fontId="0" fillId="4" borderId="15" xfId="0" applyNumberFormat="1" applyFont="1" applyFill="1" applyBorder="1" applyAlignment="1">
      <x:alignment horizontal="center" vertical="center"/>
    </x:xf>
    <x:xf numFmtId="202" fontId="0" fillId="4" borderId="0" xfId="0" applyNumberFormat="1" applyFont="1" applyFill="1" applyBorder="1" applyAlignment="1">
      <x:alignment horizontal="center" vertical="center"/>
    </x:xf>
    <x:xf numFmtId="202" fontId="0" fillId="4" borderId="20" xfId="0" applyNumberFormat="1" applyFont="1" applyFill="1" applyBorder="1" applyAlignment="1">
      <x:alignment horizontal="center" vertical="center"/>
    </x:xf>
    <x:xf numFmtId="202" fontId="0" fillId="4" borderId="23" xfId="0" applyNumberFormat="1" applyFont="1" applyFill="1" applyBorder="1" applyAlignment="1">
      <x:alignment horizontal="center" vertical="center"/>
    </x:xf>
    <x:xf numFmtId="202" fontId="0" fillId="4" borderId="1" xfId="0" applyNumberFormat="1" applyFont="1" applyFill="1" applyBorder="1" applyAlignment="1">
      <x:alignment horizontal="center" vertical="center"/>
    </x:xf>
    <x:xf numFmtId="202" fontId="0" fillId="4" borderId="28" xfId="0" applyNumberFormat="1" applyFont="1" applyFill="1" applyBorder="1" applyAlignment="1">
      <x:alignment horizontal="center" vertical="center"/>
    </x:xf>
    <x:xf numFmtId="201" fontId="0" fillId="5" borderId="15" xfId="0" applyNumberFormat="1" applyFont="1" applyFill="1" applyBorder="1" applyAlignment="1">
      <x:alignment horizontal="center" vertical="center"/>
    </x:xf>
    <x:xf numFmtId="201" fontId="0" fillId="4" borderId="16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 applyAlignment="1">
      <x:alignment horizontal="center" vertical="center"/>
    </x:xf>
    <x:xf numFmtId="201" fontId="0" fillId="4" borderId="18" xfId="0" applyNumberFormat="1" applyFont="1" applyFill="1" applyBorder="1" applyAlignment="1">
      <x:alignment horizontal="center" vertical="center"/>
    </x:xf>
    <x:xf numFmtId="201" fontId="0" fillId="5" borderId="20" xfId="0" applyNumberFormat="1" applyFont="1" applyFill="1" applyBorder="1" applyAlignment="1">
      <x:alignment horizontal="center" vertical="center"/>
    </x:xf>
    <x:xf numFmtId="201" fontId="0" fillId="4" borderId="21" xfId="0" applyNumberFormat="1" applyFont="1" applyFill="1" applyBorder="1" applyAlignment="1">
      <x:alignment horizontal="center" vertical="center"/>
    </x:xf>
    <x:xf numFmtId="201" fontId="0" fillId="5" borderId="23" xfId="0" applyNumberFormat="1" applyFont="1" applyFill="1" applyBorder="1" applyAlignment="1">
      <x:alignment horizontal="center" vertical="center"/>
    </x:xf>
    <x:xf numFmtId="201" fontId="0" fillId="4" borderId="24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 applyAlignment="1">
      <x:alignment horizontal="center" vertical="center"/>
    </x:xf>
    <x:xf numFmtId="201" fontId="0" fillId="4" borderId="26" xfId="0" applyNumberFormat="1" applyFont="1" applyFill="1" applyBorder="1" applyAlignment="1">
      <x:alignment horizontal="center" vertical="center"/>
    </x:xf>
    <x:xf numFmtId="201" fontId="0" fillId="5" borderId="28" xfId="0" applyNumberFormat="1" applyFont="1" applyFill="1" applyBorder="1" applyAlignment="1">
      <x:alignment horizontal="center" vertical="center"/>
    </x:xf>
    <x:xf numFmtId="201" fontId="0" fillId="4" borderId="2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20" xfId="0" applyNumberFormat="1" applyFont="1" applyFill="1" applyBorder="1"/>
    <x:xf numFmtId="0" fontId="0" fillId="6" borderId="21" xfId="0" applyNumberFormat="1" applyFont="1" applyFill="1" applyBorder="1"/>
    <x:xf numFmtId="0" fontId="0" fillId="6" borderId="14" xfId="0" applyNumberFormat="1" applyFont="1" applyFill="1" applyBorder="1" applyAlignment="1">
      <x:alignment horizontal="center"/>
    </x:xf>
    <x:xf numFmtId="0" fontId="0" fillId="6" borderId="15" xfId="0" applyNumberFormat="1" applyFont="1" applyFill="1" applyBorder="1" applyAlignment="1">
      <x:alignment horizontal="center"/>
    </x:xf>
    <x:xf numFmtId="0" fontId="0" fillId="6" borderId="16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18" xfId="0" applyNumberFormat="1" applyFont="1" applyFill="1" applyBorder="1" applyAlignment="1">
      <x:alignment horizontal="center"/>
    </x:xf>
    <x:xf numFmtId="0" fontId="0" fillId="6" borderId="19" xfId="0" applyNumberFormat="1" applyFont="1" applyFill="1" applyBorder="1" applyAlignment="1">
      <x:alignment horizontal="center"/>
    </x:xf>
    <x:xf numFmtId="0" fontId="0" fillId="6" borderId="20" xfId="0" applyNumberFormat="1" applyFont="1" applyFill="1" applyBorder="1" applyAlignment="1">
      <x:alignment horizontal="center"/>
    </x:xf>
    <x:xf numFmtId="0" fontId="0" fillId="6" borderId="21" xfId="0" applyNumberFormat="1" applyFont="1" applyFill="1" applyBorder="1" applyAlignment="1">
      <x:alignment horizont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0" fontId="0" fillId="6" borderId="16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8" xfId="0" applyNumberFormat="1" applyFont="1" applyFill="1" applyBorder="1" applyAlignment="1">
      <x:alignment horizontal="center" vertical="center"/>
    </x:xf>
    <x:xf numFmtId="0" fontId="0" fillId="6" borderId="19" xfId="0" applyNumberFormat="1" applyFont="1" applyFill="1" applyBorder="1" applyAlignment="1">
      <x:alignment horizontal="center" vertical="center"/>
    </x:xf>
    <x:xf numFmtId="0" fontId="0" fillId="6" borderId="20" xfId="0" applyNumberFormat="1" applyFont="1" applyFill="1" applyBorder="1" applyAlignment="1">
      <x:alignment horizontal="center" vertical="center"/>
    </x:xf>
    <x:xf numFmtId="0" fontId="0" fillId="6" borderId="2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0" fillId="6" borderId="22" xfId="0" applyNumberFormat="1" applyFont="1" applyFill="1" applyBorder="1"/>
    <x:xf numFmtId="0" fontId="0" fillId="6" borderId="23" xfId="0" applyNumberFormat="1" applyFont="1" applyFill="1" applyBorder="1"/>
    <x:xf numFmtId="0" fontId="0" fillId="6" borderId="24" xfId="0" applyNumberFormat="1" applyFont="1" applyFill="1" applyBorder="1"/>
    <x:xf numFmtId="0" fontId="0" fillId="6" borderId="25" xfId="0" applyNumberFormat="1" applyFont="1" applyFill="1" applyBorder="1"/>
    <x:xf numFmtId="0" fontId="0" fillId="6" borderId="26" xfId="0" applyNumberFormat="1" applyFont="1" applyFill="1" applyBorder="1"/>
    <x:xf numFmtId="0" fontId="0" fillId="6" borderId="27" xfId="0" applyNumberFormat="1" applyFont="1" applyFill="1" applyBorder="1"/>
    <x:xf numFmtId="0" fontId="0" fillId="6" borderId="28" xfId="0" applyNumberFormat="1" applyFont="1" applyFill="1" applyBorder="1"/>
    <x:xf numFmtId="0" fontId="0" fillId="6" borderId="29" xfId="0" applyNumberFormat="1" applyFont="1" applyFill="1" applyBorder="1"/>
    <x:xf numFmtId="0" fontId="0" fillId="6" borderId="22" xfId="0" applyNumberFormat="1" applyFont="1" applyFill="1" applyBorder="1" applyAlignment="1">
      <x:alignment horizontal="center"/>
    </x:xf>
    <x:xf numFmtId="0" fontId="0" fillId="6" borderId="23" xfId="0" applyNumberFormat="1" applyFont="1" applyFill="1" applyBorder="1" applyAlignment="1">
      <x:alignment horizontal="center"/>
    </x:xf>
    <x:xf numFmtId="0" fontId="0" fillId="6" borderId="24" xfId="0" applyNumberFormat="1" applyFont="1" applyFill="1" applyBorder="1" applyAlignment="1">
      <x:alignment horizontal="center"/>
    </x:xf>
    <x:xf numFmtId="0" fontId="0" fillId="6" borderId="25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6" borderId="26" xfId="0" applyNumberFormat="1" applyFont="1" applyFill="1" applyBorder="1" applyAlignment="1">
      <x:alignment horizontal="center"/>
    </x:xf>
    <x:xf numFmtId="0" fontId="0" fillId="6" borderId="27" xfId="0" applyNumberFormat="1" applyFont="1" applyFill="1" applyBorder="1" applyAlignment="1">
      <x:alignment horizontal="center"/>
    </x:xf>
    <x:xf numFmtId="0" fontId="0" fillId="6" borderId="28" xfId="0" applyNumberFormat="1" applyFont="1" applyFill="1" applyBorder="1" applyAlignment="1">
      <x:alignment horizontal="center"/>
    </x:xf>
    <x:xf numFmtId="0" fontId="0" fillId="6" borderId="29" xfId="0" applyNumberFormat="1" applyFont="1" applyFill="1" applyBorder="1" applyAlignment="1">
      <x:alignment horizontal="center"/>
    </x:xf>
    <x:xf numFmtId="0" fontId="0" fillId="6" borderId="22" xfId="0" applyNumberFormat="1" applyFont="1" applyFill="1" applyBorder="1" applyAlignment="1">
      <x:alignment horizontal="center" vertical="center"/>
    </x:xf>
    <x:xf numFmtId="0" fontId="0" fillId="6" borderId="23" xfId="0" applyNumberFormat="1" applyFont="1" applyFill="1" applyBorder="1" applyAlignment="1">
      <x:alignment horizontal="center" vertical="center"/>
    </x:xf>
    <x:xf numFmtId="0" fontId="0" fillId="6" borderId="24" xfId="0" applyNumberFormat="1" applyFont="1" applyFill="1" applyBorder="1" applyAlignment="1">
      <x:alignment horizontal="center" vertical="center"/>
    </x:xf>
    <x:xf numFmtId="0" fontId="0" fillId="6" borderId="25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26" xfId="0" applyNumberFormat="1" applyFont="1" applyFill="1" applyBorder="1" applyAlignment="1">
      <x:alignment horizontal="center" vertical="center"/>
    </x:xf>
    <x:xf numFmtId="0" fontId="0" fillId="6" borderId="27" xfId="0" applyNumberFormat="1" applyFont="1" applyFill="1" applyBorder="1" applyAlignment="1">
      <x:alignment horizontal="center" vertical="center"/>
    </x:xf>
    <x:xf numFmtId="0" fontId="0" fillId="6" borderId="28" xfId="0" applyNumberFormat="1" applyFont="1" applyFill="1" applyBorder="1" applyAlignment="1">
      <x:alignment horizontal="center" vertical="center"/>
    </x:xf>
    <x:xf numFmtId="0" fontId="0" fillId="6" borderId="29" xfId="0" applyNumberFormat="1" applyFont="1" applyFill="1" applyBorder="1" applyAlignment="1">
      <x:alignment horizontal="center" vertical="center"/>
    </x:xf>
    <x:xf numFmtId="200" fontId="0" fillId="6" borderId="14" xfId="0" applyNumberFormat="1" applyFont="1" applyFill="1" applyBorder="1" applyAlignment="1">
      <x:alignment horizontal="center" vertical="center"/>
    </x:xf>
    <x:xf numFmtId="200" fontId="0" fillId="6" borderId="15" xfId="0" applyNumberFormat="1" applyFont="1" applyFill="1" applyBorder="1" applyAlignment="1">
      <x:alignment horizontal="center" vertical="center"/>
    </x:xf>
    <x:xf numFmtId="200" fontId="0" fillId="6" borderId="17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center" vertical="center"/>
    </x:xf>
    <x:xf numFmtId="200" fontId="0" fillId="6" borderId="19" xfId="0" applyNumberFormat="1" applyFont="1" applyFill="1" applyBorder="1" applyAlignment="1">
      <x:alignment horizontal="center" vertical="center"/>
    </x:xf>
    <x:xf numFmtId="200" fontId="0" fillId="6" borderId="20" xfId="0" applyNumberFormat="1" applyFont="1" applyFill="1" applyBorder="1" applyAlignment="1">
      <x:alignment horizontal="center" vertical="center"/>
    </x:xf>
    <x:xf numFmtId="200" fontId="0" fillId="6" borderId="22" xfId="0" applyNumberFormat="1" applyFont="1" applyFill="1" applyBorder="1" applyAlignment="1">
      <x:alignment horizontal="center" vertical="center"/>
    </x:xf>
    <x:xf numFmtId="200" fontId="0" fillId="6" borderId="23" xfId="0" applyNumberFormat="1" applyFont="1" applyFill="1" applyBorder="1" applyAlignment="1">
      <x:alignment horizontal="center" vertical="center"/>
    </x:xf>
    <x:xf numFmtId="200" fontId="0" fillId="6" borderId="25" xfId="0" applyNumberFormat="1" applyFont="1" applyFill="1" applyBorder="1" applyAlignment="1">
      <x:alignment horizontal="center" vertical="center"/>
    </x:xf>
    <x:xf numFmtId="200" fontId="0" fillId="6" borderId="1" xfId="0" applyNumberFormat="1" applyFont="1" applyFill="1" applyBorder="1" applyAlignment="1">
      <x:alignment horizontal="center" vertical="center"/>
    </x:xf>
    <x:xf numFmtId="200" fontId="0" fillId="6" borderId="27" xfId="0" applyNumberFormat="1" applyFont="1" applyFill="1" applyBorder="1" applyAlignment="1">
      <x:alignment horizontal="center" vertical="center"/>
    </x:xf>
    <x:xf numFmtId="200" fontId="0" fillId="6" borderId="28" xfId="0" applyNumberFormat="1" applyFont="1" applyFill="1" applyBorder="1" applyAlignment="1">
      <x:alignment horizontal="center" vertical="center"/>
    </x:xf>
    <x:xf numFmtId="201" fontId="0" fillId="6" borderId="15" xfId="0" applyNumberFormat="1" applyFont="1" applyFill="1" applyBorder="1" applyAlignment="1">
      <x:alignment horizontal="center" vertical="center"/>
    </x:xf>
    <x:xf numFmtId="201" fontId="0" fillId="6" borderId="0" xfId="0" applyNumberFormat="1" applyFont="1" applyFill="1" applyBorder="1" applyAlignment="1">
      <x:alignment horizontal="center" vertical="center"/>
    </x:xf>
    <x:xf numFmtId="201" fontId="0" fillId="6" borderId="20" xfId="0" applyNumberFormat="1" applyFont="1" applyFill="1" applyBorder="1" applyAlignment="1">
      <x:alignment horizontal="center" vertical="center"/>
    </x:xf>
    <x:xf numFmtId="201" fontId="0" fillId="6" borderId="23" xfId="0" applyNumberFormat="1" applyFont="1" applyFill="1" applyBorder="1" applyAlignment="1">
      <x:alignment horizontal="center" vertical="center"/>
    </x:xf>
    <x:xf numFmtId="201" fontId="0" fillId="6" borderId="1" xfId="0" applyNumberFormat="1" applyFont="1" applyFill="1" applyBorder="1" applyAlignment="1">
      <x:alignment horizontal="center" vertical="center"/>
    </x:xf>
    <x:xf numFmtId="201" fontId="0" fillId="6" borderId="28" xfId="0" applyNumberFormat="1" applyFont="1" applyFill="1" applyBorder="1" applyAlignment="1">
      <x:alignment horizontal="center" vertical="center"/>
    </x:xf>
    <x:xf numFmtId="202" fontId="0" fillId="6" borderId="15" xfId="0" applyNumberFormat="1" applyFont="1" applyFill="1" applyBorder="1" applyAlignment="1">
      <x:alignment horizontal="center" vertical="center"/>
    </x:xf>
    <x:xf numFmtId="202" fontId="0" fillId="6" borderId="0" xfId="0" applyNumberFormat="1" applyFont="1" applyFill="1" applyBorder="1" applyAlignment="1">
      <x:alignment horizontal="center" vertical="center"/>
    </x:xf>
    <x:xf numFmtId="202" fontId="0" fillId="6" borderId="20" xfId="0" applyNumberFormat="1" applyFont="1" applyFill="1" applyBorder="1" applyAlignment="1">
      <x:alignment horizontal="center" vertical="center"/>
    </x:xf>
    <x:xf numFmtId="202" fontId="0" fillId="6" borderId="23" xfId="0" applyNumberFormat="1" applyFont="1" applyFill="1" applyBorder="1" applyAlignment="1">
      <x:alignment horizontal="center" vertical="center"/>
    </x:xf>
    <x:xf numFmtId="202" fontId="0" fillId="6" borderId="1" xfId="0" applyNumberFormat="1" applyFont="1" applyFill="1" applyBorder="1" applyAlignment="1">
      <x:alignment horizontal="center" vertical="center"/>
    </x:xf>
    <x:xf numFmtId="202" fontId="0" fillId="6" borderId="28" xfId="0" applyNumberFormat="1" applyFont="1" applyFill="1" applyBorder="1" applyAlignment="1">
      <x:alignment horizontal="center" vertical="center"/>
    </x:xf>
    <x:xf numFmtId="201" fontId="0" fillId="6" borderId="16" xfId="0" applyNumberFormat="1" applyFont="1" applyFill="1" applyBorder="1" applyAlignment="1">
      <x:alignment horizontal="center" vertical="center"/>
    </x:xf>
    <x:xf numFmtId="201" fontId="0" fillId="6" borderId="18" xfId="0" applyNumberFormat="1" applyFont="1" applyFill="1" applyBorder="1" applyAlignment="1">
      <x:alignment horizontal="center" vertical="center"/>
    </x:xf>
    <x:xf numFmtId="201" fontId="0" fillId="6" borderId="21" xfId="0" applyNumberFormat="1" applyFont="1" applyFill="1" applyBorder="1" applyAlignment="1">
      <x:alignment horizontal="center" vertical="center"/>
    </x:xf>
    <x:xf numFmtId="201" fontId="0" fillId="6" borderId="24" xfId="0" applyNumberFormat="1" applyFont="1" applyFill="1" applyBorder="1" applyAlignment="1">
      <x:alignment horizontal="center" vertical="center"/>
    </x:xf>
    <x:xf numFmtId="201" fontId="0" fillId="6" borderId="26" xfId="0" applyNumberFormat="1" applyFont="1" applyFill="1" applyBorder="1" applyAlignment="1">
      <x:alignment horizontal="center" vertical="center"/>
    </x:xf>
    <x:xf numFmtId="201" fontId="0" fillId="6" borderId="2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14" xfId="0" applyNumberFormat="1" applyFont="1" applyFill="1" applyBorder="1" applyAlignment="1">
      <x:alignment horizontal="center"/>
    </x:xf>
    <x:xf numFmtId="0" fontId="0" fillId="7" borderId="15" xfId="0" applyNumberFormat="1" applyFont="1" applyFill="1" applyBorder="1" applyAlignment="1">
      <x:alignment horizontal="center"/>
    </x:xf>
    <x:xf numFmtId="0" fontId="0" fillId="7" borderId="16" xfId="0" applyNumberFormat="1" applyFont="1" applyFill="1" applyBorder="1" applyAlignment="1">
      <x:alignment horizontal="center"/>
    </x:xf>
    <x:xf numFmtId="0" fontId="0" fillId="7" borderId="1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7" borderId="18" xfId="0" applyNumberFormat="1" applyFont="1" applyFill="1" applyBorder="1" applyAlignment="1">
      <x:alignment horizontal="center"/>
    </x:xf>
    <x:xf numFmtId="0" fontId="0" fillId="7" borderId="19" xfId="0" applyNumberFormat="1" applyFont="1" applyFill="1" applyBorder="1" applyAlignment="1">
      <x:alignment horizontal="center"/>
    </x:xf>
    <x:xf numFmtId="0" fontId="0" fillId="7" borderId="20" xfId="0" applyNumberFormat="1" applyFont="1" applyFill="1" applyBorder="1" applyAlignment="1">
      <x:alignment horizontal="center"/>
    </x:xf>
    <x:xf numFmtId="0" fontId="0" fillId="7" borderId="21" xfId="0" applyNumberFormat="1" applyFont="1" applyFill="1" applyBorder="1" applyAlignment="1">
      <x:alignment horizontal="center"/>
    </x:xf>
    <x:xf numFmtId="0" fontId="0" fillId="7" borderId="14" xfId="0" applyNumberFormat="1" applyFont="1" applyFill="1" applyBorder="1" applyAlignment="1">
      <x:alignment horizontal="center" vertical="center"/>
    </x:xf>
    <x:xf numFmtId="0" fontId="0" fillId="7" borderId="15" xfId="0" applyNumberFormat="1" applyFont="1" applyFill="1" applyBorder="1" applyAlignment="1">
      <x:alignment horizontal="center" vertical="center"/>
    </x:xf>
    <x:xf numFmtId="0" fontId="0" fillId="7" borderId="16" xfId="0" applyNumberFormat="1" applyFont="1" applyFill="1" applyBorder="1" applyAlignment="1">
      <x:alignment horizontal="center" vertical="center"/>
    </x:xf>
    <x:xf numFmtId="0" fontId="0" fillId="7" borderId="1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0" fillId="7" borderId="18" xfId="0" applyNumberFormat="1" applyFont="1" applyFill="1" applyBorder="1" applyAlignment="1">
      <x:alignment horizontal="center" vertical="center"/>
    </x:xf>
    <x:xf numFmtId="0" fontId="0" fillId="7" borderId="19" xfId="0" applyNumberFormat="1" applyFont="1" applyFill="1" applyBorder="1" applyAlignment="1">
      <x:alignment horizontal="center" vertical="center"/>
    </x:xf>
    <x:xf numFmtId="0" fontId="0" fillId="7" borderId="20" xfId="0" applyNumberFormat="1" applyFont="1" applyFill="1" applyBorder="1" applyAlignment="1">
      <x:alignment horizontal="center" vertical="center"/>
    </x:xf>
    <x:xf numFmtId="0" fontId="0" fillId="7" borderId="2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0" fontId="0" fillId="7" borderId="25" xfId="0" applyNumberFormat="1" applyFont="1" applyFill="1" applyBorder="1"/>
    <x:xf numFmtId="0" fontId="0" fillId="7" borderId="26" xfId="0" applyNumberFormat="1" applyFont="1" applyFill="1" applyBorder="1"/>
    <x:xf numFmtId="0" fontId="0" fillId="7" borderId="27" xfId="0" applyNumberFormat="1" applyFont="1" applyFill="1" applyBorder="1"/>
    <x:xf numFmtId="0" fontId="0" fillId="7" borderId="28" xfId="0" applyNumberFormat="1" applyFont="1" applyFill="1" applyBorder="1"/>
    <x:xf numFmtId="0" fontId="0" fillId="7" borderId="29" xfId="0" applyNumberFormat="1" applyFont="1" applyFill="1" applyBorder="1"/>
    <x:xf numFmtId="0" fontId="0" fillId="7" borderId="22" xfId="0" applyNumberFormat="1" applyFont="1" applyFill="1" applyBorder="1" applyAlignment="1">
      <x:alignment horizontal="center"/>
    </x:xf>
    <x:xf numFmtId="0" fontId="0" fillId="7" borderId="23" xfId="0" applyNumberFormat="1" applyFont="1" applyFill="1" applyBorder="1" applyAlignment="1">
      <x:alignment horizontal="center"/>
    </x:xf>
    <x:xf numFmtId="0" fontId="0" fillId="7" borderId="24" xfId="0" applyNumberFormat="1" applyFont="1" applyFill="1" applyBorder="1" applyAlignment="1">
      <x:alignment horizontal="center"/>
    </x:xf>
    <x:xf numFmtId="0" fontId="0" fillId="7" borderId="25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7" borderId="26" xfId="0" applyNumberFormat="1" applyFont="1" applyFill="1" applyBorder="1" applyAlignment="1">
      <x:alignment horizontal="center"/>
    </x:xf>
    <x:xf numFmtId="0" fontId="0" fillId="7" borderId="27" xfId="0" applyNumberFormat="1" applyFont="1" applyFill="1" applyBorder="1" applyAlignment="1">
      <x:alignment horizontal="center"/>
    </x:xf>
    <x:xf numFmtId="0" fontId="0" fillId="7" borderId="28" xfId="0" applyNumberFormat="1" applyFont="1" applyFill="1" applyBorder="1" applyAlignment="1">
      <x:alignment horizontal="center"/>
    </x:xf>
    <x:xf numFmtId="0" fontId="0" fillId="7" borderId="29" xfId="0" applyNumberFormat="1" applyFont="1" applyFill="1" applyBorder="1" applyAlignment="1">
      <x:alignment horizontal="center"/>
    </x:xf>
    <x:xf numFmtId="0" fontId="0" fillId="7" borderId="22" xfId="0" applyNumberFormat="1" applyFont="1" applyFill="1" applyBorder="1" applyAlignment="1">
      <x:alignment horizontal="center" vertical="center"/>
    </x:xf>
    <x:xf numFmtId="0" fontId="0" fillId="7" borderId="23" xfId="0" applyNumberFormat="1" applyFont="1" applyFill="1" applyBorder="1" applyAlignment="1">
      <x:alignment horizontal="center" vertical="center"/>
    </x:xf>
    <x:xf numFmtId="0" fontId="0" fillId="7" borderId="24" xfId="0" applyNumberFormat="1" applyFont="1" applyFill="1" applyBorder="1" applyAlignment="1">
      <x:alignment horizontal="center" vertical="center"/>
    </x:xf>
    <x:xf numFmtId="0" fontId="0" fillId="7" borderId="25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0" fillId="7" borderId="26" xfId="0" applyNumberFormat="1" applyFont="1" applyFill="1" applyBorder="1" applyAlignment="1">
      <x:alignment horizontal="center" vertical="center"/>
    </x:xf>
    <x:xf numFmtId="0" fontId="0" fillId="7" borderId="27" xfId="0" applyNumberFormat="1" applyFont="1" applyFill="1" applyBorder="1" applyAlignment="1">
      <x:alignment horizontal="center" vertical="center"/>
    </x:xf>
    <x:xf numFmtId="0" fontId="0" fillId="7" borderId="28" xfId="0" applyNumberFormat="1" applyFont="1" applyFill="1" applyBorder="1" applyAlignment="1">
      <x:alignment horizontal="center" vertical="center"/>
    </x:xf>
    <x:xf numFmtId="0" fontId="0" fillId="7" borderId="29" xfId="0" applyNumberFormat="1" applyFont="1" applyFill="1" applyBorder="1" applyAlignment="1">
      <x:alignment horizontal="center" vertical="center"/>
    </x:xf>
    <x:xf numFmtId="200" fontId="0" fillId="7" borderId="14" xfId="0" applyNumberFormat="1" applyFont="1" applyFill="1" applyBorder="1" applyAlignment="1">
      <x:alignment horizontal="center" vertical="center"/>
    </x:xf>
    <x:xf numFmtId="200" fontId="0" fillId="7" borderId="15" xfId="0" applyNumberFormat="1" applyFont="1" applyFill="1" applyBorder="1" applyAlignment="1">
      <x:alignment horizontal="center" vertical="center"/>
    </x:xf>
    <x:xf numFmtId="200" fontId="0" fillId="7" borderId="17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 applyAlignment="1">
      <x:alignment horizontal="center" vertical="center"/>
    </x:xf>
    <x:xf numFmtId="200" fontId="0" fillId="7" borderId="19" xfId="0" applyNumberFormat="1" applyFont="1" applyFill="1" applyBorder="1" applyAlignment="1">
      <x:alignment horizontal="center" vertical="center"/>
    </x:xf>
    <x:xf numFmtId="200" fontId="0" fillId="7" borderId="20" xfId="0" applyNumberFormat="1" applyFont="1" applyFill="1" applyBorder="1" applyAlignment="1">
      <x:alignment horizontal="center" vertical="center"/>
    </x:xf>
    <x:xf numFmtId="200" fontId="0" fillId="7" borderId="22" xfId="0" applyNumberFormat="1" applyFont="1" applyFill="1" applyBorder="1" applyAlignment="1">
      <x:alignment horizontal="center" vertical="center"/>
    </x:xf>
    <x:xf numFmtId="200" fontId="0" fillId="7" borderId="23" xfId="0" applyNumberFormat="1" applyFont="1" applyFill="1" applyBorder="1" applyAlignment="1">
      <x:alignment horizontal="center" vertical="center"/>
    </x:xf>
    <x:xf numFmtId="200" fontId="0" fillId="7" borderId="25" xfId="0" applyNumberFormat="1" applyFont="1" applyFill="1" applyBorder="1" applyAlignment="1">
      <x:alignment horizontal="center" vertical="center"/>
    </x:xf>
    <x:xf numFmtId="200" fontId="0" fillId="7" borderId="1" xfId="0" applyNumberFormat="1" applyFont="1" applyFill="1" applyBorder="1" applyAlignment="1">
      <x:alignment horizontal="center" vertical="center"/>
    </x:xf>
    <x:xf numFmtId="200" fontId="0" fillId="7" borderId="27" xfId="0" applyNumberFormat="1" applyFont="1" applyFill="1" applyBorder="1" applyAlignment="1">
      <x:alignment horizontal="center" vertical="center"/>
    </x:xf>
    <x:xf numFmtId="200" fontId="0" fillId="7" borderId="28" xfId="0" applyNumberFormat="1" applyFont="1" applyFill="1" applyBorder="1" applyAlignment="1">
      <x:alignment horizontal="center" vertical="center"/>
    </x:xf>
    <x:xf numFmtId="201" fontId="0" fillId="7" borderId="15" xfId="0" applyNumberFormat="1" applyFont="1" applyFill="1" applyBorder="1" applyAlignment="1">
      <x:alignment horizontal="center" vertical="center"/>
    </x:xf>
    <x:xf numFmtId="201" fontId="0" fillId="7" borderId="0" xfId="0" applyNumberFormat="1" applyFont="1" applyFill="1" applyBorder="1" applyAlignment="1">
      <x:alignment horizontal="center" vertical="center"/>
    </x:xf>
    <x:xf numFmtId="201" fontId="0" fillId="7" borderId="20" xfId="0" applyNumberFormat="1" applyFont="1" applyFill="1" applyBorder="1" applyAlignment="1">
      <x:alignment horizontal="center" vertical="center"/>
    </x:xf>
    <x:xf numFmtId="201" fontId="0" fillId="7" borderId="23" xfId="0" applyNumberFormat="1" applyFont="1" applyFill="1" applyBorder="1" applyAlignment="1">
      <x:alignment horizontal="center" vertical="center"/>
    </x:xf>
    <x:xf numFmtId="201" fontId="0" fillId="7" borderId="1" xfId="0" applyNumberFormat="1" applyFont="1" applyFill="1" applyBorder="1" applyAlignment="1">
      <x:alignment horizontal="center" vertical="center"/>
    </x:xf>
    <x:xf numFmtId="201" fontId="0" fillId="7" borderId="28" xfId="0" applyNumberFormat="1" applyFont="1" applyFill="1" applyBorder="1" applyAlignment="1">
      <x:alignment horizontal="center" vertical="center"/>
    </x:xf>
    <x:xf numFmtId="202" fontId="0" fillId="7" borderId="15" xfId="0" applyNumberFormat="1" applyFont="1" applyFill="1" applyBorder="1" applyAlignment="1">
      <x:alignment horizontal="center" vertical="center"/>
    </x:xf>
    <x:xf numFmtId="202" fontId="0" fillId="7" borderId="0" xfId="0" applyNumberFormat="1" applyFont="1" applyFill="1" applyBorder="1" applyAlignment="1">
      <x:alignment horizontal="center" vertical="center"/>
    </x:xf>
    <x:xf numFmtId="202" fontId="0" fillId="7" borderId="20" xfId="0" applyNumberFormat="1" applyFont="1" applyFill="1" applyBorder="1" applyAlignment="1">
      <x:alignment horizontal="center" vertical="center"/>
    </x:xf>
    <x:xf numFmtId="202" fontId="0" fillId="7" borderId="23" xfId="0" applyNumberFormat="1" applyFont="1" applyFill="1" applyBorder="1" applyAlignment="1">
      <x:alignment horizontal="center" vertical="center"/>
    </x:xf>
    <x:xf numFmtId="202" fontId="0" fillId="7" borderId="1" xfId="0" applyNumberFormat="1" applyFont="1" applyFill="1" applyBorder="1" applyAlignment="1">
      <x:alignment horizontal="center" vertical="center"/>
    </x:xf>
    <x:xf numFmtId="202" fontId="0" fillId="7" borderId="28" xfId="0" applyNumberFormat="1" applyFont="1" applyFill="1" applyBorder="1" applyAlignment="1">
      <x:alignment horizontal="center" vertical="center"/>
    </x:xf>
    <x:xf numFmtId="201" fontId="0" fillId="7" borderId="16" xfId="0" applyNumberFormat="1" applyFont="1" applyFill="1" applyBorder="1" applyAlignment="1">
      <x:alignment horizontal="center" vertical="center"/>
    </x:xf>
    <x:xf numFmtId="201" fontId="0" fillId="7" borderId="18" xfId="0" applyNumberFormat="1" applyFont="1" applyFill="1" applyBorder="1" applyAlignment="1">
      <x:alignment horizontal="center" vertical="center"/>
    </x:xf>
    <x:xf numFmtId="201" fontId="0" fillId="7" borderId="21" xfId="0" applyNumberFormat="1" applyFont="1" applyFill="1" applyBorder="1" applyAlignment="1">
      <x:alignment horizontal="center" vertical="center"/>
    </x:xf>
    <x:xf numFmtId="201" fontId="0" fillId="7" borderId="24" xfId="0" applyNumberFormat="1" applyFont="1" applyFill="1" applyBorder="1" applyAlignment="1">
      <x:alignment horizontal="center" vertical="center"/>
    </x:xf>
    <x:xf numFmtId="201" fontId="0" fillId="7" borderId="26" xfId="0" applyNumberFormat="1" applyFont="1" applyFill="1" applyBorder="1" applyAlignment="1">
      <x:alignment horizontal="center" vertical="center"/>
    </x:xf>
    <x:xf numFmtId="201" fontId="0" fillId="7" borderId="29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9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horizontal="center" vertical="center"/>
    </x:xf>
    <x:xf numFmtId="200" fontId="0" fillId="0" borderId="23" xfId="0" applyNumberFormat="1" applyFont="1" applyFill="1" applyBorder="1" applyAlignment="1">
      <x:alignment horizontal="center" vertical="center"/>
    </x:xf>
    <x:xf numFmtId="200" fontId="0" fillId="0" borderId="25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27" xfId="0" applyNumberFormat="1" applyFont="1" applyFill="1" applyBorder="1" applyAlignment="1">
      <x:alignment horizontal="center" vertical="center"/>
    </x:xf>
    <x:xf numFmtId="200" fontId="0" fillId="0" borderId="28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1" fontId="0" fillId="0" borderId="23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28" xfId="0" applyNumberFormat="1" applyFont="1" applyFill="1" applyBorder="1" applyAlignment="1">
      <x:alignment horizontal="center" vertical="center"/>
    </x:xf>
    <x:xf numFmtId="202" fontId="0" fillId="0" borderId="15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20" xfId="0" applyNumberFormat="1" applyFont="1" applyFill="1" applyBorder="1" applyAlignment="1">
      <x:alignment horizontal="center" vertical="center"/>
    </x:xf>
    <x:xf numFmtId="202" fontId="0" fillId="0" borderId="23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202" fontId="0" fillId="0" borderId="28" xfId="0" applyNumberFormat="1" applyFont="1" applyFill="1" applyBorder="1" applyAlignment="1">
      <x:alignment horizontal="center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30" xfId="0" applyNumberFormat="1" applyFont="1" applyFill="1" applyBorder="1"/>
    <x:xf numFmtId="0" fontId="1" fillId="8" borderId="31" xfId="0" applyNumberFormat="1" applyFont="1" applyFill="1" applyBorder="1"/>
    <x:xf numFmtId="0" fontId="1" fillId="8" borderId="32" xfId="0" applyNumberFormat="1" applyFont="1" applyFill="1" applyBorder="1"/>
    <x:xf numFmtId="0" fontId="1" fillId="8" borderId="30" xfId="0" applyNumberFormat="1" applyFont="1" applyFill="1" applyBorder="1" applyAlignment="1">
      <x:alignment horizontal="center"/>
    </x:xf>
    <x:xf numFmtId="0" fontId="1" fillId="8" borderId="31" xfId="0" applyNumberFormat="1" applyFont="1" applyFill="1" applyBorder="1" applyAlignment="1">
      <x:alignment horizontal="center"/>
    </x:xf>
    <x:xf numFmtId="0" fontId="1" fillId="8" borderId="32" xfId="0" applyNumberFormat="1" applyFont="1" applyFill="1" applyBorder="1" applyAlignment="1">
      <x:alignment horizontal="center"/>
    </x:xf>
    <x:xf numFmtId="0" fontId="1" fillId="8" borderId="30" xfId="0" applyNumberFormat="1" applyFont="1" applyFill="1" applyBorder="1" applyAlignment="1">
      <x:alignment horizontal="center" vertical="center"/>
    </x:xf>
    <x:xf numFmtId="0" fontId="1" fillId="8" borderId="31" xfId="0" applyNumberFormat="1" applyFont="1" applyFill="1" applyBorder="1" applyAlignment="1">
      <x:alignment horizontal="center" vertical="center"/>
    </x:xf>
    <x:xf numFmtId="0" fontId="1" fillId="8" borderId="3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30" xfId="0" applyNumberFormat="1" applyFont="1" applyFill="1" applyBorder="1"/>
    <x:xf numFmtId="0" fontId="3" fillId="9" borderId="31" xfId="0" applyNumberFormat="1" applyFont="1" applyFill="1" applyBorder="1"/>
    <x:xf numFmtId="0" fontId="3" fillId="9" borderId="32" xfId="0" applyNumberFormat="1" applyFont="1" applyFill="1" applyBorder="1"/>
    <x:xf numFmtId="0" fontId="3" fillId="9" borderId="30" xfId="0" applyNumberFormat="1" applyFont="1" applyFill="1" applyBorder="1" applyAlignment="1">
      <x:alignment wrapText="1"/>
    </x:xf>
    <x:xf numFmtId="0" fontId="3" fillId="9" borderId="31" xfId="0" applyNumberFormat="1" applyFont="1" applyFill="1" applyBorder="1" applyAlignment="1">
      <x:alignment wrapText="1"/>
    </x:xf>
    <x:xf numFmtId="0" fontId="3" fillId="9" borderId="32" xfId="0" applyNumberFormat="1" applyFont="1" applyFill="1" applyBorder="1" applyAlignment="1">
      <x:alignment wrapText="1"/>
    </x:xf>
    <x:xf numFmtId="0" fontId="3" fillId="9" borderId="30" xfId="0" applyNumberFormat="1" applyFont="1" applyFill="1" applyBorder="1" applyAlignment="1">
      <x:alignment horizontal="center" wrapText="1"/>
    </x:xf>
    <x:xf numFmtId="0" fontId="3" fillId="9" borderId="31" xfId="0" applyNumberFormat="1" applyFont="1" applyFill="1" applyBorder="1" applyAlignment="1">
      <x:alignment horizontal="center" wrapText="1"/>
    </x:xf>
    <x:xf numFmtId="0" fontId="3" fillId="9" borderId="32" xfId="0" applyNumberFormat="1" applyFont="1" applyFill="1" applyBorder="1" applyAlignment="1">
      <x:alignment horizontal="center" wrapText="1"/>
    </x:xf>
    <x:xf numFmtId="0" fontId="3" fillId="9" borderId="30" xfId="0" applyNumberFormat="1" applyFont="1" applyFill="1" applyBorder="1" applyAlignment="1">
      <x:alignment horizontal="center" vertical="center" wrapText="1"/>
    </x:xf>
    <x:xf numFmtId="0" fontId="3" fillId="9" borderId="31" xfId="0" applyNumberFormat="1" applyFont="1" applyFill="1" applyBorder="1" applyAlignment="1">
      <x:alignment horizontal="center" vertical="center" wrapText="1"/>
    </x:xf>
    <x:xf numFmtId="0" fontId="3" fillId="9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xfId="0" applyNumberFormat="1" applyFont="1" applyFill="1" applyBorder="0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xfId="0" applyNumberFormat="1" applyFont="1" applyFill="1" applyBorder="0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0" fontId="0" fillId="0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/>
    </x:xf>
    <x:xf numFmtId="0" fontId="0" fillId="0" borderId="40" xfId="0" applyNumberFormat="1" applyFont="1" applyFill="1" applyBorder="1" applyAlignment="1">
      <x:alignment vertical="center"/>
    </x:xf>
    <x:xf numFmtId="0" fontId="0" fillId="10" borderId="34" xfId="0" applyNumberFormat="1" applyFont="1" applyFill="1" applyBorder="1" applyAlignment="1">
      <x:alignment vertical="center"/>
    </x:xf>
    <x:xf numFmtId="0" fontId="0" fillId="10" xfId="0" applyNumberFormat="1" applyFont="1" applyFill="1" applyBorder="0" applyAlignment="1">
      <x:alignment vertical="center"/>
    </x:xf>
    <x:xf numFmtId="0" fontId="0" fillId="10" borderId="39" xfId="0" applyNumberFormat="1" applyFont="1" applyFill="1" applyBorder="1" applyAlignment="1">
      <x:alignment vertical="center"/>
    </x:xf>
    <x:xf numFmtId="0" fontId="0" fillId="11" xfId="0" applyNumberFormat="1" applyFont="1" applyFill="1" applyBorder="0" applyAlignment="1">
      <x:alignment vertical="center"/>
    </x:xf>
    <x:xf numFmtId="203" fontId="0" fillId="10" borderId="34" xfId="0" applyNumberFormat="1" applyFont="1" applyFill="1" applyBorder="1" applyAlignment="1">
      <x:alignment vertical="center"/>
    </x:xf>
    <x:xf numFmtId="203" fontId="0" fillId="11" xfId="0" applyNumberFormat="1" applyFont="1" applyFill="1" applyBorder="0" applyAlignment="1">
      <x:alignment vertical="center"/>
    </x:xf>
    <x:xf numFmtId="203" fontId="0" fillId="10" xfId="0" applyNumberFormat="1" applyFont="1" applyFill="1" applyBorder="0" applyAlignment="1">
      <x:alignment vertical="center"/>
    </x:xf>
    <x:xf numFmtId="203" fontId="0" fillId="10" borderId="39" xfId="0" applyNumberFormat="1" applyFont="1" applyFill="1" applyBorder="1" applyAlignment="1">
      <x:alignment vertical="center"/>
    </x:xf>
    <x:xf numFmtId="0" fontId="4" fillId="0" borderId="33" xfId="0" applyNumberFormat="1" applyFont="1" applyFill="1" applyBorder="1" applyAlignment="1">
      <x:alignment vertical="center"/>
    </x:xf>
    <x:xf numFmtId="0" fontId="4" fillId="0" borderId="36" xfId="0" applyNumberFormat="1" applyFont="1" applyFill="1" applyBorder="1" applyAlignment="1">
      <x:alignment vertical="center"/>
    </x:xf>
    <x:xf numFmtId="0" fontId="4" fillId="0" borderId="38" xfId="0" applyNumberFormat="1" applyFont="1" applyFill="1" applyBorder="1" applyAlignment="1">
      <x:alignment vertical="center"/>
    </x:xf>
    <x:xf numFmtId="0" fontId="4" fillId="0" borderId="33" xfId="0" applyNumberFormat="1" applyFont="1" applyFill="1" applyBorder="1" applyAlignment="1">
      <x:alignment vertical="center" wrapText="1"/>
    </x:xf>
    <x:xf numFmtId="203" fontId="0" fillId="10" borderId="34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203" fontId="0" fillId="11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203" fontId="0" fillId="10" xfId="0" applyNumberFormat="1" applyFont="1" applyFill="1" applyBorder="0" applyAlignment="1">
      <x:alignment vertical="center" wrapText="1"/>
    </x:xf>
    <x:xf numFmtId="0" fontId="4" fillId="0" borderId="38" xfId="0" applyNumberFormat="1" applyFont="1" applyFill="1" applyBorder="1" applyAlignment="1">
      <x:alignment vertical="center" wrapText="1"/>
    </x:xf>
    <x:xf numFmtId="203" fontId="0" fillId="10" borderId="39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12" borderId="34" xfId="0" applyNumberFormat="1" applyFont="1" applyFill="1" applyBorder="1" applyAlignment="1">
      <x:alignment vertical="center" wrapText="1"/>
    </x:xf>
    <x:xf numFmtId="0" fontId="0" fillId="12" borderId="35" xfId="0" applyNumberFormat="1" applyFont="1" applyFill="1" applyBorder="1" applyAlignment="1">
      <x:alignment vertical="center" wrapText="1"/>
    </x:xf>
    <x:xf numFmtId="0" fontId="0" fillId="13" xfId="0" applyNumberFormat="1" applyFont="1" applyFill="1" applyBorder="0" applyAlignment="1">
      <x:alignment vertical="center" wrapText="1"/>
    </x:xf>
    <x:xf numFmtId="0" fontId="0" fillId="13" borderId="37" xfId="0" applyNumberFormat="1" applyFont="1" applyFill="1" applyBorder="1" applyAlignment="1">
      <x:alignment vertical="center" wrapText="1"/>
    </x:xf>
    <x:xf numFmtId="0" fontId="0" fillId="10" borderId="39" xfId="0" applyNumberFormat="1" applyFont="1" applyFill="1" applyBorder="1" applyAlignment="1">
      <x:alignment vertical="center" wrapText="1"/>
    </x:xf>
    <x:xf numFmtId="0" fontId="0" fillId="10" borderId="4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left" wrapText="1"/>
    </x:xf>
    <x:xf numFmtId="0" fontId="0" fillId="10" borderId="35" xfId="0" applyNumberFormat="1" applyFont="1" applyFill="1" applyBorder="1" applyAlignment="1">
      <x:alignment vertical="center"/>
    </x:xf>
    <x:xf numFmtId="0" fontId="0" fillId="10" borderId="37" xfId="0" applyNumberFormat="1" applyFont="1" applyFill="1" applyBorder="1" applyAlignment="1">
      <x:alignment vertical="center"/>
    </x:xf>
    <x:xf numFmtId="0" fontId="0" fillId="10" borderId="40" xfId="0" applyNumberFormat="1" applyFont="1" applyFill="1" applyBorder="1" applyAlignment="1">
      <x:alignment vertical="center"/>
    </x:xf>
    <x:xf numFmtId="0" fontId="0" fillId="11" borderId="34" xfId="0" applyNumberFormat="1" applyFont="1" applyFill="1" applyBorder="1" applyAlignment="1">
      <x:alignment vertical="center"/>
    </x:xf>
    <x:xf numFmtId="0" fontId="0" fillId="11" borderId="39" xfId="0" applyNumberFormat="1" applyFont="1" applyFill="1" applyBorder="1" applyAlignment="1">
      <x:alignment vertical="center"/>
    </x:xf>
    <x:xf numFmtId="0" fontId="0" fillId="14" borderId="34" xfId="0" applyNumberFormat="1" applyFont="1" applyFill="1" applyBorder="1" applyAlignment="1">
      <x:alignment vertical="center"/>
    </x:xf>
    <x:xf numFmtId="0" fontId="0" fillId="14" xfId="0" applyNumberFormat="1" applyFont="1" applyFill="1" applyBorder="0" applyAlignment="1">
      <x:alignment vertical="center"/>
    </x:xf>
    <x:xf numFmtId="0" fontId="0" fillId="14" borderId="39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horizontal="center" vertical="center"/>
    </x:xf>
    <x:xf numFmtId="0" fontId="0" fillId="0" borderId="34" xfId="0" applyNumberFormat="1" applyFont="1" applyFill="1" applyBorder="1" applyAlignment="1">
      <x:alignment horizontal="center" vertical="center"/>
    </x:xf>
    <x:xf numFmtId="0" fontId="0" fillId="14" borderId="34" xfId="0" applyNumberFormat="1" applyFont="1" applyFill="1" applyBorder="1" applyAlignment="1">
      <x:alignment horizontal="center" vertical="center"/>
    </x:xf>
    <x:xf numFmtId="0" fontId="0" fillId="10" borderId="34" xfId="0" applyNumberFormat="1" applyFont="1" applyFill="1" applyBorder="1" applyAlignment="1">
      <x:alignment horizontal="center" vertical="center"/>
    </x:xf>
    <x:xf numFmtId="0" fontId="0" fillId="0" borderId="36" xfId="0" applyNumberFormat="1" applyFont="1" applyFill="1" applyBorder="1" applyAlignment="1">
      <x:alignment horizontal="center" vertical="center"/>
    </x:xf>
    <x:xf numFmtId="0" fontId="0" fillId="0" xfId="0" applyNumberFormat="1" applyFont="1" applyFill="1" applyBorder="0" applyAlignment="1">
      <x:alignment horizontal="center" vertical="center"/>
    </x:xf>
    <x:xf numFmtId="0" fontId="0" fillId="14" xfId="0" applyNumberFormat="1" applyFont="1" applyFill="1" applyBorder="0" applyAlignment="1">
      <x:alignment horizontal="center" vertical="center"/>
    </x:xf>
    <x:xf numFmtId="0" fontId="0" fillId="10" xfId="0" applyNumberFormat="1" applyFont="1" applyFill="1" applyBorder="0" applyAlignment="1">
      <x:alignment horizontal="center" vertical="center"/>
    </x:xf>
    <x:xf numFmtId="0" fontId="0" fillId="0" borderId="38" xfId="0" applyNumberFormat="1" applyFont="1" applyFill="1" applyBorder="1" applyAlignment="1">
      <x:alignment horizontal="center" vertical="center"/>
    </x:xf>
    <x:xf numFmtId="0" fontId="0" fillId="0" borderId="39" xfId="0" applyNumberFormat="1" applyFont="1" applyFill="1" applyBorder="1" applyAlignment="1">
      <x:alignment horizontal="center" vertical="center"/>
    </x:xf>
    <x:xf numFmtId="0" fontId="0" fillId="14" borderId="39" xfId="0" applyNumberFormat="1" applyFont="1" applyFill="1" applyBorder="1" applyAlignment="1">
      <x:alignment horizontal="center" vertical="center"/>
    </x:xf>
    <x:xf numFmtId="0" fontId="0" fillId="10" borderId="39" xfId="0" applyNumberFormat="1" applyFont="1" applyFill="1" applyBorder="1" applyAlignment="1">
      <x:alignment horizontal="center" vertical="center"/>
    </x:xf>
    <x:xf numFmtId="0" fontId="0" fillId="11" borderId="34" xfId="0" applyNumberFormat="1" applyFont="1" applyFill="1" applyBorder="1" applyAlignment="1">
      <x:alignment horizontal="center" vertical="center"/>
    </x:xf>
    <x:xf numFmtId="0" fontId="0" fillId="11" xfId="0" applyNumberFormat="1" applyFont="1" applyFill="1" applyBorder="0" applyAlignment="1">
      <x:alignment horizontal="center" vertical="center"/>
    </x:xf>
    <x:xf numFmtId="0" fontId="0" fillId="11" borderId="39" xfId="0" applyNumberFormat="1" applyFont="1" applyFill="1" applyBorder="1" applyAlignment="1">
      <x:alignment horizontal="center" vertical="center"/>
    </x:xf>
    <x:xf numFmtId="204" fontId="0" fillId="11" borderId="34" xfId="0" applyNumberFormat="1" applyFont="1" applyFill="1" applyBorder="1" applyAlignment="1">
      <x:alignment horizontal="center" vertical="center"/>
    </x:xf>
    <x:xf numFmtId="204" fontId="0" fillId="11" xfId="0" applyNumberFormat="1" applyFont="1" applyFill="1" applyBorder="0" applyAlignment="1">
      <x:alignment horizontal="center" vertical="center"/>
    </x:xf>
    <x:xf numFmtId="204" fontId="0" fillId="11" borderId="39" xfId="0" applyNumberFormat="1" applyFont="1" applyFill="1" applyBorder="1" applyAlignment="1">
      <x:alignment horizontal="center" vertical="center"/>
    </x:xf>
    <x:xf numFmtId="205" fontId="0" fillId="11" borderId="34" xfId="0" applyNumberFormat="1" applyFont="1" applyFill="1" applyBorder="1" applyAlignment="1">
      <x:alignment horizontal="center" vertical="center"/>
    </x:xf>
    <x:xf numFmtId="205" fontId="0" fillId="11" xfId="0" applyNumberFormat="1" applyFont="1" applyFill="1" applyBorder="0" applyAlignment="1">
      <x:alignment horizontal="center" vertical="center"/>
    </x:xf>
    <x:xf numFmtId="205" fontId="0" fillId="11" borderId="39" xfId="0" applyNumberFormat="1" applyFont="1" applyFill="1" applyBorder="1" applyAlignment="1">
      <x:alignment horizontal="center" vertical="center"/>
    </x:xf>
    <x:xf numFmtId="204" fontId="0" fillId="10" borderId="34" xfId="0" applyNumberFormat="1" applyFont="1" applyFill="1" applyBorder="1" applyAlignment="1">
      <x:alignment horizontal="center" vertical="center"/>
    </x:xf>
    <x:xf numFmtId="204" fontId="0" fillId="10" xfId="0" applyNumberFormat="1" applyFont="1" applyFill="1" applyBorder="0" applyAlignment="1">
      <x:alignment horizontal="center" vertical="center"/>
    </x:xf>
    <x:xf numFmtId="204" fontId="0" fillId="10" borderId="39" xfId="0" applyNumberFormat="1" applyFont="1" applyFill="1" applyBorder="1" applyAlignment="1">
      <x:alignment horizontal="center" vertical="center"/>
    </x:xf>
    <x:xf numFmtId="0" fontId="0" fillId="10" borderId="35" xfId="0" applyNumberFormat="1" applyFont="1" applyFill="1" applyBorder="1" applyAlignment="1">
      <x:alignment vertical="center" wrapText="1"/>
    </x:xf>
    <x:xf numFmtId="0" fontId="0" fillId="10" borderId="37" xfId="0" applyNumberFormat="1" applyFont="1" applyFill="1" applyBorder="1" applyAlignment="1">
      <x:alignment vertical="center" wrapText="1"/>
    </x:xf>
    <x:xf numFmtId="204" fontId="0" fillId="11" borderId="34" xfId="0" applyNumberFormat="1" applyFont="1" applyFill="1" applyBorder="1" applyAlignment="1">
      <x:alignment vertical="center"/>
    </x:xf>
    <x:xf numFmtId="204" fontId="0" fillId="11" xfId="0" applyNumberFormat="1" applyFont="1" applyFill="1" applyBorder="0" applyAlignment="1">
      <x:alignment vertical="center"/>
    </x:xf>
    <x:xf numFmtId="204" fontId="0" fillId="11" borderId="39" xfId="0" applyNumberFormat="1" applyFont="1" applyFill="1" applyBorder="1" applyAlignment="1">
      <x:alignment vertical="center"/>
    </x:xf>
    <x:xf numFmtId="205" fontId="0" fillId="11" xfId="0" applyNumberFormat="1" applyFont="1" applyFill="1" applyBorder="0" applyAlignment="1">
      <x:alignment vertical="center"/>
    </x:xf>
    <x:xf numFmtId="204" fontId="0" fillId="11" borderId="34" xfId="0" applyNumberFormat="1" applyFont="1" applyFill="1" applyBorder="1" applyAlignment="1">
      <x:alignment vertical="center" wrapText="1"/>
    </x:xf>
    <x:xf numFmtId="204" fontId="0" fillId="11" xfId="0" applyNumberFormat="1" applyFont="1" applyFill="1" applyBorder="0" applyAlignment="1">
      <x:alignment vertical="center" wrapText="1"/>
    </x:xf>
    <x:xf numFmtId="205" fontId="0" fillId="11" xfId="0" applyNumberFormat="1" applyFont="1" applyFill="1" applyBorder="0" applyAlignment="1">
      <x:alignment vertical="center" wrapText="1"/>
    </x:xf>
    <x:xf numFmtId="204" fontId="0" fillId="11" borderId="39" xfId="0" applyNumberFormat="1" applyFont="1" applyFill="1" applyBorder="1" applyAlignment="1">
      <x:alignment vertical="center" wrapText="1"/>
    </x:xf>
    <x:xf numFmtId="0" fontId="0" fillId="13" borderId="33" xfId="0" applyNumberFormat="1" applyFont="1" applyFill="1" applyBorder="1" applyAlignment="1">
      <x:alignment vertical="center"/>
    </x:xf>
    <x:xf numFmtId="0" fontId="0" fillId="13" borderId="36" xfId="0" applyNumberFormat="1" applyFont="1" applyFill="1" applyBorder="1" applyAlignment="1">
      <x:alignment vertical="center"/>
    </x:xf>
    <x:xf numFmtId="0" fontId="0" fillId="13" borderId="38" xfId="0" applyNumberFormat="1" applyFont="1" applyFill="1" applyBorder="1" applyAlignment="1">
      <x:alignment vertical="center"/>
    </x:xf>
    <x:xf numFmtId="0" fontId="0" fillId="12" borderId="33" xfId="0" applyNumberFormat="1" applyFont="1" applyFill="1" applyBorder="1" applyAlignment="1">
      <x:alignment vertical="center"/>
    </x:xf>
    <x:xf numFmtId="0" fontId="0" fillId="12" borderId="36" xfId="0" applyNumberFormat="1" applyFont="1" applyFill="1" applyBorder="1" applyAlignment="1">
      <x:alignment vertical="center"/>
    </x:xf>
    <x:xf numFmtId="0" fontId="0" fillId="12" borderId="38" xfId="0" applyNumberFormat="1" applyFont="1" applyFill="1" applyBorder="1" applyAlignment="1">
      <x:alignment vertical="center"/>
    </x:xf>
    <x:xf numFmtId="0" fontId="0" fillId="13" borderId="33" xfId="0" applyNumberFormat="1" applyFont="1" applyFill="1" applyBorder="1" applyAlignment="1">
      <x:alignment vertical="center" wrapText="1"/>
    </x:xf>
    <x:xf numFmtId="0" fontId="0" fillId="13" borderId="36" xfId="0" applyNumberFormat="1" applyFont="1" applyFill="1" applyBorder="1" applyAlignment="1">
      <x:alignment vertical="center" wrapText="1"/>
    </x:xf>
    <x:xf numFmtId="0" fontId="0" fillId="13" borderId="3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2" borderId="33" xfId="0" applyNumberFormat="1" applyFont="1" applyFill="1" applyBorder="1" applyAlignment="1">
      <x:alignment vertical="center" wrapText="1"/>
    </x:xf>
    <x:xf numFmtId="0" fontId="0" fillId="12" borderId="36" xfId="0" applyNumberFormat="1" applyFont="1" applyFill="1" applyBorder="1" applyAlignment="1">
      <x:alignment vertical="center" wrapText="1"/>
    </x:xf>
    <x:xf numFmtId="0" fontId="0" fillId="12" borderId="3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8e56a9b9a4a3f" /><Relationship Type="http://schemas.openxmlformats.org/officeDocument/2006/relationships/theme" Target="/xl/theme/theme1.xml" Id="Rcc9e4fd130f74477" /><Relationship Type="http://schemas.openxmlformats.org/officeDocument/2006/relationships/sharedStrings" Target="/xl/sharedStrings.xml" Id="R0ee80f91ec374d71" /><Relationship Type="http://schemas.openxmlformats.org/officeDocument/2006/relationships/worksheet" Target="/xl/worksheets/sheet1.xml" Id="R4bf09e33b1ec483f" /><Relationship Type="http://schemas.openxmlformats.org/officeDocument/2006/relationships/worksheet" Target="/xl/worksheets/sheet2.xml" Id="R1fc41d63cd2f475e" /><Relationship Type="http://schemas.openxmlformats.org/officeDocument/2006/relationships/worksheet" Target="/xl/worksheets/sheet3.xml" Id="R75b4db0b423c4916" /><Relationship Type="http://schemas.openxmlformats.org/officeDocument/2006/relationships/worksheet" Target="/xl/worksheets/sheet4.xml" Id="R4d10d95affed4536" /><Relationship Type="http://schemas.openxmlformats.org/officeDocument/2006/relationships/worksheet" Target="/xl/worksheets/sheet5.xml" Id="R570184186fcf44fa" /><Relationship Type="http://schemas.openxmlformats.org/officeDocument/2006/relationships/worksheet" Target="/xl/worksheets/sheet6.xml" Id="R3bdacc909a80472e" /><Relationship Type="http://schemas.openxmlformats.org/officeDocument/2006/relationships/worksheet" Target="/xl/worksheets/sheet7.xml" Id="R90454b2563e845e1" /><Relationship Type="http://schemas.openxmlformats.org/officeDocument/2006/relationships/worksheet" Target="/xl/worksheets/sheet8.xml" Id="R4fce3d23617748f3" /><Relationship Type="http://schemas.openxmlformats.org/officeDocument/2006/relationships/worksheet" Target="/xl/worksheets/sheet9.xml" Id="Rda091110e92f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0" hidden="0" customWidth="1"/>
    <x:col min="4" max="4" width="18" hidden="0" customWidth="1"/>
    <x:col min="5" max="5" width="17" hidden="0" customWidth="1"/>
    <x:col min="6" max="6" width="17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10" t="str">
        <x:v>RINGKASAN PENGUJIAN SKALA PIKSEL</x:v>
      </x:c>
      <x:c r="B1" s="11"/>
      <x:c r="C1" s="11"/>
      <x:c r="D1" s="11"/>
      <x:c r="E1" s="11"/>
      <x:c r="F1" s="11"/>
      <x:c r="G1" s="11"/>
      <x:c r="H1" s="11"/>
      <x:c r="I1" s="11"/>
      <x:c r="J1" s="12"/>
    </x:row>
    <x:row r="3" ht="44" customHeight="1">
      <x:c r="A3" s="35" t="str">
        <x:v>PX_PER_CELL</x:v>
      </x:c>
      <x:c r="B3" s="36" t="str">
        <x:v>Jumlah citra</x:v>
      </x:c>
      <x:c r="C3" s="36" t="str">
        <x:v>Tinggi board
warp (px)</x:v>
      </x:c>
      <x:c r="D3" s="36" t="str">
        <x:v>cmPerPixel
(cm/px)</x:v>
      </x:c>
      <x:c r="E3" s="36" t="str">
        <x:v>Lebar output
(px)</x:v>
      </x:c>
      <x:c r="F3" s="36" t="str">
        <x:v>Tinggi canvas
(px)</x:v>
      </x:c>
      <x:c r="G3" s="36" t="str">
        <x:v>Hasil aplikasi
terisi</x:v>
      </x:c>
      <x:c r="H3" s="36" t="str">
        <x:v>MAE
(cm)</x:v>
      </x:c>
      <x:c r="I3" s="36" t="str">
        <x:v>Error min
(cm)</x:v>
      </x:c>
      <x:c r="J3" s="37" t="str">
        <x:v>Error maks
(cm)</x:v>
      </x:c>
    </x:row>
    <x:row r="4" ht="28" customHeight="1">
      <x:c r="A4" s="375" t="n">
        <x:v>100</x:v>
      </x:c>
      <x:c r="B4" s="376" t="n">
        <x:f>COUNTA('PX 100'!B5:B19)</x:f>
        <x:v>15</x:v>
      </x:c>
      <x:c r="C4" s="387" t="n">
        <x:f>'PX 100'!G5</x:f>
        <x:v>1935.0000000000002</x:v>
      </x:c>
      <x:c r="D4" s="393" t="n">
        <x:f>'PX 100'!H5</x:f>
        <x:v>0.10335917312661498</x:v>
      </x:c>
      <x:c r="E4" s="387" t="n">
        <x:f>'PX 100'!I5</x:f>
        <x:v>1100</x:v>
      </x:c>
      <x:c r="F4" s="387" t="n">
        <x:f>'PX 100'!J5</x:f>
        <x:v>2530</x:v>
      </x:c>
      <x:c r="G4" s="376" t="n">
        <x:f>COUNT('PX 100'!M5:M19)</x:f>
        <x:v>15</x:v>
      </x:c>
      <x:c r="H4" s="387" t="n">
        <x:f>AVERAGE('PX 100'!N5:N19)</x:f>
        <x:v>2.326666666666667</x:v>
      </x:c>
      <x:c r="I4" s="387" t="n">
        <x:f>MIN('PX 100'!N5:N19)</x:f>
        <x:v>0.4000000000000057</x:v>
      </x:c>
      <x:c r="J4" s="399" t="n">
        <x:f>MAX('PX 100'!N5:N19)</x:f>
        <x:v>8</x:v>
      </x:c>
    </x:row>
    <x:row r="5" ht="28" customHeight="1">
      <x:c r="A5" s="377" t="n">
        <x:v>120</x:v>
      </x:c>
      <x:c r="B5" s="378" t="n">
        <x:f>COUNTA('PX 120'!B5:B19)</x:f>
        <x:v>15</x:v>
      </x:c>
      <x:c r="C5" s="388" t="n">
        <x:f>'PX 120'!G5</x:f>
        <x:v>2322</x:v>
      </x:c>
      <x:c r="D5" s="394" t="n">
        <x:f>'PX 120'!H5</x:f>
        <x:v>0.08613264427217916</x:v>
      </x:c>
      <x:c r="E5" s="388" t="n">
        <x:f>'PX 120'!I5</x:f>
        <x:v>1320</x:v>
      </x:c>
      <x:c r="F5" s="388" t="n">
        <x:f>'PX 120'!J5</x:f>
        <x:v>3036</x:v>
      </x:c>
      <x:c r="G5" s="378" t="n">
        <x:f>COUNT('PX 120'!M5:M19)</x:f>
        <x:v>15</x:v>
      </x:c>
      <x:c r="H5" s="388" t="n">
        <x:f>AVERAGE('PX 120'!N5:N19)</x:f>
        <x:v>1.8666666666666647</x:v>
      </x:c>
      <x:c r="I5" s="388" t="n">
        <x:f>MIN('PX 120'!N5:N19)</x:f>
        <x:v>0.09999999999999432</x:v>
      </x:c>
      <x:c r="J5" s="400" t="n">
        <x:f>MAX('PX 120'!N5:N19)</x:f>
        <x:v>3.4000000000000057</x:v>
      </x:c>
    </x:row>
    <x:row r="6" ht="28" customHeight="1">
      <x:c r="A6" s="379" t="n">
        <x:v>150</x:v>
      </x:c>
      <x:c r="B6" s="380" t="n">
        <x:f>COUNTA('PX 150'!B5:B19)</x:f>
        <x:v>15</x:v>
      </x:c>
      <x:c r="C6" s="389" t="n">
        <x:f>'PX 150'!G5</x:f>
        <x:v>2902.5</x:v>
      </x:c>
      <x:c r="D6" s="395" t="n">
        <x:f>'PX 150'!H5</x:f>
        <x:v>0.06890611541774333</x:v>
      </x:c>
      <x:c r="E6" s="389" t="n">
        <x:f>'PX 150'!I5</x:f>
        <x:v>1650</x:v>
      </x:c>
      <x:c r="F6" s="389" t="n">
        <x:f>'PX 150'!J5</x:f>
        <x:v>3795</x:v>
      </x:c>
      <x:c r="G6" s="380" t="n">
        <x:f>COUNT('PX 150'!M5:M19)</x:f>
        <x:v>15</x:v>
      </x:c>
      <x:c r="H6" s="389" t="n">
        <x:f>AVERAGE('PX 150'!N5:N19)</x:f>
        <x:v>2.4666666666666686</x:v>
      </x:c>
      <x:c r="I6" s="389" t="n">
        <x:f>MIN('PX 150'!N5:N19)</x:f>
        <x:v>0.19999999999998863</x:v>
      </x:c>
      <x:c r="J6" s="401" t="n">
        <x:f>MAX('PX 150'!N5:N19)</x:f>
        <x:v>7.400000000000006</x:v>
      </x:c>
    </x:row>
  </x:sheetData>
  <x:mergeCells>
    <x:mergeCell ref="A1:J1"/>
  </x:mergeCells>
  <x:conditionalFormatting sqref="H4:H6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4" hidden="0" customWidth="1"/>
    <x:col min="4" max="4" width="18" hidden="0" customWidth="1"/>
    <x:col min="5" max="5" width="14" hidden="0" customWidth="1"/>
    <x:col min="6" max="6" width="17" hidden="0" customWidth="1"/>
    <x:col min="7" max="7" width="19" hidden="0" customWidth="1"/>
    <x:col min="8" max="8" width="17" hidden="0" customWidth="1"/>
    <x:col min="9" max="9" width="15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34" customHeight="1">
      <x:c r="A1" s="10" t="str">
        <x:v>PENGUJIAN KEDUA – PX_PER_CELL 100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2"/>
    </x:row>
    <x:row r="4" ht="44" customHeight="1">
      <x:c r="A4" s="35" t="str">
        <x:v>No.</x:v>
      </x:c>
      <x:c r="B4" s="36" t="str">
        <x:v>Kode</x:v>
      </x:c>
      <x:c r="C4" s="36" t="str">
        <x:v>PX_PER_CELL</x:v>
      </x:c>
      <x:c r="D4" s="36" t="str">
        <x:v>Jumlah marker
terdeteksi</x:v>
      </x:c>
      <x:c r="E4" s="36" t="str">
        <x:v>Perspektif</x:v>
      </x:c>
      <x:c r="F4" s="36" t="str">
        <x:v>Board terlihat
lurus</x:v>
      </x:c>
      <x:c r="G4" s="36" t="str">
        <x:v>Tinggi board
hasil warp (px)</x:v>
      </x:c>
      <x:c r="H4" s="36" t="str">
        <x:v>cmPerPixel
(cm/px)</x:v>
      </x:c>
      <x:c r="I4" s="36" t="str">
        <x:v>Lebar output
(px)</x:v>
      </x:c>
      <x:c r="J4" s="36" t="str">
        <x:v>Tinggi output/
canvas (px)</x:v>
      </x:c>
      <x:c r="K4" s="36" t="str">
        <x:v>Tubuh/board
terpotong</x:v>
      </x:c>
      <x:c r="L4" s="36" t="str">
        <x:v>Tinggi aktual/
referensi (cm)</x:v>
      </x:c>
      <x:c r="M4" s="36" t="str">
        <x:v>Hasil aplikasi
(cm)</x:v>
      </x:c>
      <x:c r="N4" s="37" t="str">
        <x:v>Error absolut
(cm)</x:v>
      </x:c>
    </x:row>
    <x:row r="5" ht="25" customHeight="1">
      <x:c r="A5" s="112" t="n">
        <x:v>1</x:v>
      </x:c>
      <x:c r="B5" s="113" t="str">
        <x:v>C01</x:v>
      </x:c>
      <x:c r="C5" s="113" t="n">
        <x:v>100</x:v>
      </x:c>
      <x:c r="D5" s="114"/>
      <x:c r="E5" s="71" t="str">
        <x:v>Berhasil</x:v>
      </x:c>
      <x:c r="F5" s="106" t="str">
        <x:v>Ya</x:v>
      </x:c>
      <x:c r="G5" s="130" t="n">
        <x:f>C5*19.35</x:f>
        <x:v>1935.0000000000002</x:v>
      </x:c>
      <x:c r="H5" s="136" t="n">
        <x:f>200/G5</x:f>
        <x:v>0.10335917312661498</x:v>
      </x:c>
      <x:c r="I5" s="130" t="n">
        <x:f>C5*11</x:f>
        <x:v>1100</x:v>
      </x:c>
      <x:c r="J5" s="130" t="n">
        <x:f>C5*25.3</x:f>
        <x:v>2530</x:v>
      </x:c>
      <x:c r="K5" s="106" t="str">
        <x:v>Tidak</x:v>
      </x:c>
      <x:c r="L5" s="130" t="n">
        <x:v>169</x:v>
      </x:c>
      <x:c r="M5" s="142" t="n">
        <x:v>161</x:v>
      </x:c>
      <x:c r="N5" s="143" t="n">
        <x:f>ABS(M5-L5)</x:f>
        <x:v>8</x:v>
      </x:c>
    </x:row>
    <x:row r="6" ht="25" customHeight="1">
      <x:c r="A6" s="115" t="n">
        <x:v>2</x:v>
      </x:c>
      <x:c r="B6" s="116" t="str">
        <x:v>C02</x:v>
      </x:c>
      <x:c r="C6" s="116" t="n">
        <x:v>100</x:v>
      </x:c>
      <x:c r="D6" s="117"/>
      <x:c r="E6" s="74" t="str">
        <x:v>Berhasil</x:v>
      </x:c>
      <x:c r="F6" s="107" t="str">
        <x:v>Ya</x:v>
      </x:c>
      <x:c r="G6" s="131" t="n">
        <x:f>C6*19.35</x:f>
        <x:v>1935.0000000000002</x:v>
      </x:c>
      <x:c r="H6" s="137" t="n">
        <x:f>200/G6</x:f>
        <x:v>0.10335917312661498</x:v>
      </x:c>
      <x:c r="I6" s="131" t="n">
        <x:f>C6*11</x:f>
        <x:v>1100</x:v>
      </x:c>
      <x:c r="J6" s="131" t="n">
        <x:f>C6*25.3</x:f>
        <x:v>2530</x:v>
      </x:c>
      <x:c r="K6" s="107" t="str">
        <x:v>Tidak</x:v>
      </x:c>
      <x:c r="L6" s="131" t="n">
        <x:v>160</x:v>
      </x:c>
      <x:c r="M6" s="144" t="n">
        <x:v>160.4</x:v>
      </x:c>
      <x:c r="N6" s="145" t="n">
        <x:f>ABS(M6-L6)</x:f>
        <x:v>0.4000000000000057</x:v>
      </x:c>
    </x:row>
    <x:row r="7" ht="25" customHeight="1">
      <x:c r="A7" s="115" t="n">
        <x:v>3</x:v>
      </x:c>
      <x:c r="B7" s="116" t="str">
        <x:v>C03</x:v>
      </x:c>
      <x:c r="C7" s="116" t="n">
        <x:v>100</x:v>
      </x:c>
      <x:c r="D7" s="117"/>
      <x:c r="E7" s="74" t="str">
        <x:v>Berhasil</x:v>
      </x:c>
      <x:c r="F7" s="107" t="str">
        <x:v>Ya</x:v>
      </x:c>
      <x:c r="G7" s="131" t="n">
        <x:f>C7*19.35</x:f>
        <x:v>1935.0000000000002</x:v>
      </x:c>
      <x:c r="H7" s="137" t="n">
        <x:f>200/G7</x:f>
        <x:v>0.10335917312661498</x:v>
      </x:c>
      <x:c r="I7" s="131" t="n">
        <x:f>C7*11</x:f>
        <x:v>1100</x:v>
      </x:c>
      <x:c r="J7" s="131" t="n">
        <x:f>C7*25.3</x:f>
        <x:v>2530</x:v>
      </x:c>
      <x:c r="K7" s="107" t="str">
        <x:v>Tidak</x:v>
      </x:c>
      <x:c r="L7" s="131" t="n">
        <x:v>168</x:v>
      </x:c>
      <x:c r="M7" s="144" t="n">
        <x:v>169.4</x:v>
      </x:c>
      <x:c r="N7" s="145" t="n">
        <x:f>ABS(M7-L7)</x:f>
        <x:v>1.4000000000000057</x:v>
      </x:c>
    </x:row>
    <x:row r="8" ht="25" customHeight="1">
      <x:c r="A8" s="115" t="n">
        <x:v>4</x:v>
      </x:c>
      <x:c r="B8" s="116" t="str">
        <x:v>C04</x:v>
      </x:c>
      <x:c r="C8" s="116" t="n">
        <x:v>100</x:v>
      </x:c>
      <x:c r="D8" s="117"/>
      <x:c r="E8" s="74" t="str">
        <x:v>Berhasil</x:v>
      </x:c>
      <x:c r="F8" s="107" t="str">
        <x:v>Ya</x:v>
      </x:c>
      <x:c r="G8" s="131" t="n">
        <x:f>C8*19.35</x:f>
        <x:v>1935.0000000000002</x:v>
      </x:c>
      <x:c r="H8" s="137" t="n">
        <x:f>200/G8</x:f>
        <x:v>0.10335917312661498</x:v>
      </x:c>
      <x:c r="I8" s="131" t="n">
        <x:f>C8*11</x:f>
        <x:v>1100</x:v>
      </x:c>
      <x:c r="J8" s="131" t="n">
        <x:f>C8*25.3</x:f>
        <x:v>2530</x:v>
      </x:c>
      <x:c r="K8" s="107" t="str">
        <x:v>Tidak</x:v>
      </x:c>
      <x:c r="L8" s="131" t="n">
        <x:v>153</x:v>
      </x:c>
      <x:c r="M8" s="144" t="n">
        <x:v>149.2</x:v>
      </x:c>
      <x:c r="N8" s="145" t="n">
        <x:f>ABS(M8-L8)</x:f>
        <x:v>3.8000000000000114</x:v>
      </x:c>
    </x:row>
    <x:row r="9" ht="25" customHeight="1">
      <x:c r="A9" s="115" t="n">
        <x:v>5</x:v>
      </x:c>
      <x:c r="B9" s="116" t="str">
        <x:v>C05</x:v>
      </x:c>
      <x:c r="C9" s="116" t="n">
        <x:v>100</x:v>
      </x:c>
      <x:c r="D9" s="117"/>
      <x:c r="E9" s="74" t="str">
        <x:v>Berhasil</x:v>
      </x:c>
      <x:c r="F9" s="107" t="str">
        <x:v>Ya</x:v>
      </x:c>
      <x:c r="G9" s="131" t="n">
        <x:f>C9*19.35</x:f>
        <x:v>1935.0000000000002</x:v>
      </x:c>
      <x:c r="H9" s="137" t="n">
        <x:f>200/G9</x:f>
        <x:v>0.10335917312661498</x:v>
      </x:c>
      <x:c r="I9" s="131" t="n">
        <x:f>C9*11</x:f>
        <x:v>1100</x:v>
      </x:c>
      <x:c r="J9" s="131" t="n">
        <x:f>C9*25.3</x:f>
        <x:v>2530</x:v>
      </x:c>
      <x:c r="K9" s="107" t="str">
        <x:v>Tidak</x:v>
      </x:c>
      <x:c r="L9" s="131" t="n">
        <x:v>164</x:v>
      </x:c>
      <x:c r="M9" s="144" t="n">
        <x:v>162.4</x:v>
      </x:c>
      <x:c r="N9" s="145" t="n">
        <x:f>ABS(M9-L9)</x:f>
        <x:v>1.5999999999999943</x:v>
      </x:c>
    </x:row>
    <x:row r="10" ht="25" customHeight="1">
      <x:c r="A10" s="115" t="n">
        <x:v>6</x:v>
      </x:c>
      <x:c r="B10" s="116" t="str">
        <x:v>C06</x:v>
      </x:c>
      <x:c r="C10" s="116" t="n">
        <x:v>100</x:v>
      </x:c>
      <x:c r="D10" s="117"/>
      <x:c r="E10" s="74" t="str">
        <x:v>Berhasil</x:v>
      </x:c>
      <x:c r="F10" s="107" t="str">
        <x:v>Ya</x:v>
      </x:c>
      <x:c r="G10" s="131" t="n">
        <x:f>C10*19.35</x:f>
        <x:v>1935.0000000000002</x:v>
      </x:c>
      <x:c r="H10" s="137" t="n">
        <x:f>200/G10</x:f>
        <x:v>0.10335917312661498</x:v>
      </x:c>
      <x:c r="I10" s="131" t="n">
        <x:f>C10*11</x:f>
        <x:v>1100</x:v>
      </x:c>
      <x:c r="J10" s="131" t="n">
        <x:f>C10*25.3</x:f>
        <x:v>2530</x:v>
      </x:c>
      <x:c r="K10" s="107" t="str">
        <x:v>Tidak</x:v>
      </x:c>
      <x:c r="L10" s="131" t="n">
        <x:v>167</x:v>
      </x:c>
      <x:c r="M10" s="144" t="n">
        <x:v>164.4</x:v>
      </x:c>
      <x:c r="N10" s="145" t="n">
        <x:f>ABS(M10-L10)</x:f>
        <x:v>2.5999999999999943</x:v>
      </x:c>
    </x:row>
    <x:row r="11" ht="25" customHeight="1">
      <x:c r="A11" s="115" t="n">
        <x:v>7</x:v>
      </x:c>
      <x:c r="B11" s="116" t="str">
        <x:v>C07</x:v>
      </x:c>
      <x:c r="C11" s="116" t="n">
        <x:v>100</x:v>
      </x:c>
      <x:c r="D11" s="117"/>
      <x:c r="E11" s="74" t="str">
        <x:v>Berhasil</x:v>
      </x:c>
      <x:c r="F11" s="107" t="str">
        <x:v>Ya</x:v>
      </x:c>
      <x:c r="G11" s="131" t="n">
        <x:f>C11*19.35</x:f>
        <x:v>1935.0000000000002</x:v>
      </x:c>
      <x:c r="H11" s="137" t="n">
        <x:f>200/G11</x:f>
        <x:v>0.10335917312661498</x:v>
      </x:c>
      <x:c r="I11" s="131" t="n">
        <x:f>C11*11</x:f>
        <x:v>1100</x:v>
      </x:c>
      <x:c r="J11" s="131" t="n">
        <x:f>C11*25.3</x:f>
        <x:v>2530</x:v>
      </x:c>
      <x:c r="K11" s="107" t="str">
        <x:v>Tidak</x:v>
      </x:c>
      <x:c r="L11" s="131" t="n">
        <x:v>157</x:v>
      </x:c>
      <x:c r="M11" s="144" t="n">
        <x:v>154.9</x:v>
      </x:c>
      <x:c r="N11" s="145" t="n">
        <x:f>ABS(M11-L11)</x:f>
        <x:v>2.0999999999999943</x:v>
      </x:c>
    </x:row>
    <x:row r="12" ht="25" customHeight="1">
      <x:c r="A12" s="115" t="n">
        <x:v>8</x:v>
      </x:c>
      <x:c r="B12" s="116" t="str">
        <x:v>C08</x:v>
      </x:c>
      <x:c r="C12" s="116" t="n">
        <x:v>100</x:v>
      </x:c>
      <x:c r="D12" s="117"/>
      <x:c r="E12" s="74" t="str">
        <x:v>Berhasil</x:v>
      </x:c>
      <x:c r="F12" s="107" t="str">
        <x:v>Ya</x:v>
      </x:c>
      <x:c r="G12" s="131" t="n">
        <x:f>C12*19.35</x:f>
        <x:v>1935.0000000000002</x:v>
      </x:c>
      <x:c r="H12" s="137" t="n">
        <x:f>200/G12</x:f>
        <x:v>0.10335917312661498</x:v>
      </x:c>
      <x:c r="I12" s="131" t="n">
        <x:f>C12*11</x:f>
        <x:v>1100</x:v>
      </x:c>
      <x:c r="J12" s="131" t="n">
        <x:f>C12*25.3</x:f>
        <x:v>2530</x:v>
      </x:c>
      <x:c r="K12" s="107" t="str">
        <x:v>Tidak</x:v>
      </x:c>
      <x:c r="L12" s="131" t="n">
        <x:v>152</x:v>
      </x:c>
      <x:c r="M12" s="144" t="n">
        <x:v>152.9</x:v>
      </x:c>
      <x:c r="N12" s="145" t="n">
        <x:f>ABS(M12-L12)</x:f>
        <x:v>0.9000000000000057</x:v>
      </x:c>
    </x:row>
    <x:row r="13" ht="25" customHeight="1">
      <x:c r="A13" s="115" t="n">
        <x:v>9</x:v>
      </x:c>
      <x:c r="B13" s="116" t="str">
        <x:v>C09</x:v>
      </x:c>
      <x:c r="C13" s="116" t="n">
        <x:v>100</x:v>
      </x:c>
      <x:c r="D13" s="117"/>
      <x:c r="E13" s="74" t="str">
        <x:v>Berhasil</x:v>
      </x:c>
      <x:c r="F13" s="107" t="str">
        <x:v>Ya</x:v>
      </x:c>
      <x:c r="G13" s="131" t="n">
        <x:f>C13*19.35</x:f>
        <x:v>1935.0000000000002</x:v>
      </x:c>
      <x:c r="H13" s="137" t="n">
        <x:f>200/G13</x:f>
        <x:v>0.10335917312661498</x:v>
      </x:c>
      <x:c r="I13" s="131" t="n">
        <x:f>C13*11</x:f>
        <x:v>1100</x:v>
      </x:c>
      <x:c r="J13" s="131" t="n">
        <x:f>C13*25.3</x:f>
        <x:v>2530</x:v>
      </x:c>
      <x:c r="K13" s="107" t="str">
        <x:v>Tidak</x:v>
      </x:c>
      <x:c r="L13" s="131" t="n">
        <x:v>166</x:v>
      </x:c>
      <x:c r="M13" s="144" t="n">
        <x:v>169.1</x:v>
      </x:c>
      <x:c r="N13" s="145" t="n">
        <x:f>ABS(M13-L13)</x:f>
        <x:v>3.0999999999999943</x:v>
      </x:c>
    </x:row>
    <x:row r="14" ht="25" customHeight="1">
      <x:c r="A14" s="115" t="n">
        <x:v>10</x:v>
      </x:c>
      <x:c r="B14" s="116" t="str">
        <x:v>C10</x:v>
      </x:c>
      <x:c r="C14" s="116" t="n">
        <x:v>100</x:v>
      </x:c>
      <x:c r="D14" s="117"/>
      <x:c r="E14" s="74" t="str">
        <x:v>Berhasil</x:v>
      </x:c>
      <x:c r="F14" s="107" t="str">
        <x:v>Ya</x:v>
      </x:c>
      <x:c r="G14" s="131" t="n">
        <x:f>C14*19.35</x:f>
        <x:v>1935.0000000000002</x:v>
      </x:c>
      <x:c r="H14" s="137" t="n">
        <x:f>200/G14</x:f>
        <x:v>0.10335917312661498</x:v>
      </x:c>
      <x:c r="I14" s="131" t="n">
        <x:f>C14*11</x:f>
        <x:v>1100</x:v>
      </x:c>
      <x:c r="J14" s="131" t="n">
        <x:f>C14*25.3</x:f>
        <x:v>2530</x:v>
      </x:c>
      <x:c r="K14" s="107" t="str">
        <x:v>Tidak</x:v>
      </x:c>
      <x:c r="L14" s="131" t="n">
        <x:v>165</x:v>
      </x:c>
      <x:c r="M14" s="144" t="n">
        <x:v>162.7</x:v>
      </x:c>
      <x:c r="N14" s="145" t="n">
        <x:f>ABS(M14-L14)</x:f>
        <x:v>2.3000000000000114</x:v>
      </x:c>
    </x:row>
    <x:row r="15" ht="25" customHeight="1">
      <x:c r="A15" s="115" t="n">
        <x:v>11</x:v>
      </x:c>
      <x:c r="B15" s="116" t="str">
        <x:v>C11</x:v>
      </x:c>
      <x:c r="C15" s="116" t="n">
        <x:v>100</x:v>
      </x:c>
      <x:c r="D15" s="117"/>
      <x:c r="E15" s="74" t="str">
        <x:v>Berhasil</x:v>
      </x:c>
      <x:c r="F15" s="107" t="str">
        <x:v>Tidak</x:v>
      </x:c>
      <x:c r="G15" s="131" t="n">
        <x:f>C15*19.35</x:f>
        <x:v>1935.0000000000002</x:v>
      </x:c>
      <x:c r="H15" s="137" t="n">
        <x:f>200/G15</x:f>
        <x:v>0.10335917312661498</x:v>
      </x:c>
      <x:c r="I15" s="131" t="n">
        <x:f>C15*11</x:f>
        <x:v>1100</x:v>
      </x:c>
      <x:c r="J15" s="131" t="n">
        <x:f>C15*25.3</x:f>
        <x:v>2530</x:v>
      </x:c>
      <x:c r="K15" s="107" t="str">
        <x:v>Ya</x:v>
      </x:c>
      <x:c r="L15" s="131" t="n">
        <x:v>166</x:v>
      </x:c>
      <x:c r="M15" s="144" t="n">
        <x:v>163.9</x:v>
      </x:c>
      <x:c r="N15" s="145" t="n">
        <x:f>ABS(M15-L15)</x:f>
        <x:v>2.0999999999999943</x:v>
      </x:c>
    </x:row>
    <x:row r="16" ht="25" customHeight="1">
      <x:c r="A16" s="115" t="n">
        <x:v>12</x:v>
      </x:c>
      <x:c r="B16" s="116" t="str">
        <x:v>C12</x:v>
      </x:c>
      <x:c r="C16" s="116" t="n">
        <x:v>100</x:v>
      </x:c>
      <x:c r="D16" s="117"/>
      <x:c r="E16" s="74" t="str">
        <x:v>Berhasil</x:v>
      </x:c>
      <x:c r="F16" s="107" t="str">
        <x:v>Ya</x:v>
      </x:c>
      <x:c r="G16" s="131" t="n">
        <x:f>C16*19.35</x:f>
        <x:v>1935.0000000000002</x:v>
      </x:c>
      <x:c r="H16" s="137" t="n">
        <x:f>200/G16</x:f>
        <x:v>0.10335917312661498</x:v>
      </x:c>
      <x:c r="I16" s="131" t="n">
        <x:f>C16*11</x:f>
        <x:v>1100</x:v>
      </x:c>
      <x:c r="J16" s="131" t="n">
        <x:f>C16*25.3</x:f>
        <x:v>2530</x:v>
      </x:c>
      <x:c r="K16" s="107" t="str">
        <x:v>Tidak</x:v>
      </x:c>
      <x:c r="L16" s="131" t="n">
        <x:v>162</x:v>
      </x:c>
      <x:c r="M16" s="144" t="n">
        <x:v>159.9</x:v>
      </x:c>
      <x:c r="N16" s="145" t="n">
        <x:f>ABS(M16-L16)</x:f>
        <x:v>2.0999999999999943</x:v>
      </x:c>
    </x:row>
    <x:row r="17" ht="25" customHeight="1">
      <x:c r="A17" s="115" t="n">
        <x:v>13</x:v>
      </x:c>
      <x:c r="B17" s="116" t="str">
        <x:v>C13</x:v>
      </x:c>
      <x:c r="C17" s="116" t="n">
        <x:v>100</x:v>
      </x:c>
      <x:c r="D17" s="117"/>
      <x:c r="E17" s="74" t="str">
        <x:v>Berhasil</x:v>
      </x:c>
      <x:c r="F17" s="107" t="str">
        <x:v>Ya</x:v>
      </x:c>
      <x:c r="G17" s="131" t="n">
        <x:f>C17*19.35</x:f>
        <x:v>1935.0000000000002</x:v>
      </x:c>
      <x:c r="H17" s="137" t="n">
        <x:f>200/G17</x:f>
        <x:v>0.10335917312661498</x:v>
      </x:c>
      <x:c r="I17" s="131" t="n">
        <x:f>C17*11</x:f>
        <x:v>1100</x:v>
      </x:c>
      <x:c r="J17" s="131" t="n">
        <x:f>C17*25.3</x:f>
        <x:v>2530</x:v>
      </x:c>
      <x:c r="K17" s="107" t="str">
        <x:v>Tidak</x:v>
      </x:c>
      <x:c r="L17" s="131" t="n">
        <x:v>164</x:v>
      </x:c>
      <x:c r="M17" s="144" t="n">
        <x:v>162.8</x:v>
      </x:c>
      <x:c r="N17" s="145" t="n">
        <x:f>ABS(M17-L17)</x:f>
        <x:v>1.1999999999999886</x:v>
      </x:c>
    </x:row>
    <x:row r="18" ht="25" customHeight="1">
      <x:c r="A18" s="115" t="n">
        <x:v>14</x:v>
      </x:c>
      <x:c r="B18" s="116" t="str">
        <x:v>C14</x:v>
      </x:c>
      <x:c r="C18" s="116" t="n">
        <x:v>100</x:v>
      </x:c>
      <x:c r="D18" s="117"/>
      <x:c r="E18" s="74" t="str">
        <x:v>Berhasil</x:v>
      </x:c>
      <x:c r="F18" s="107" t="str">
        <x:v>Ya</x:v>
      </x:c>
      <x:c r="G18" s="131" t="n">
        <x:f>C18*19.35</x:f>
        <x:v>1935.0000000000002</x:v>
      </x:c>
      <x:c r="H18" s="137" t="n">
        <x:f>200/G18</x:f>
        <x:v>0.10335917312661498</x:v>
      </x:c>
      <x:c r="I18" s="131" t="n">
        <x:f>C18*11</x:f>
        <x:v>1100</x:v>
      </x:c>
      <x:c r="J18" s="131" t="n">
        <x:f>C18*25.3</x:f>
        <x:v>2530</x:v>
      </x:c>
      <x:c r="K18" s="107" t="str">
        <x:v>Tidak</x:v>
      </x:c>
      <x:c r="L18" s="131" t="n">
        <x:v>161</x:v>
      </x:c>
      <x:c r="M18" s="144" t="n">
        <x:v>162.8</x:v>
      </x:c>
      <x:c r="N18" s="145" t="n">
        <x:f>ABS(M18-L18)</x:f>
        <x:v>1.8000000000000114</x:v>
      </x:c>
    </x:row>
    <x:row r="19" ht="25" customHeight="1">
      <x:c r="A19" s="118" t="n">
        <x:v>15</x:v>
      </x:c>
      <x:c r="B19" s="119" t="str">
        <x:v>C15</x:v>
      </x:c>
      <x:c r="C19" s="119" t="n">
        <x:v>100</x:v>
      </x:c>
      <x:c r="D19" s="120"/>
      <x:c r="E19" s="77" t="str">
        <x:v>Berhasil</x:v>
      </x:c>
      <x:c r="F19" s="108" t="str">
        <x:v>Ya</x:v>
      </x:c>
      <x:c r="G19" s="132" t="n">
        <x:f>C19*19.35</x:f>
        <x:v>1935.0000000000002</x:v>
      </x:c>
      <x:c r="H19" s="138" t="n">
        <x:f>200/G19</x:f>
        <x:v>0.10335917312661498</x:v>
      </x:c>
      <x:c r="I19" s="132" t="n">
        <x:f>C19*11</x:f>
        <x:v>1100</x:v>
      </x:c>
      <x:c r="J19" s="132" t="n">
        <x:f>C19*25.3</x:f>
        <x:v>2530</x:v>
      </x:c>
      <x:c r="K19" s="108" t="str">
        <x:v>Tidak</x:v>
      </x:c>
      <x:c r="L19" s="132" t="n">
        <x:v>175</x:v>
      </x:c>
      <x:c r="M19" s="146" t="n">
        <x:v>176.5</x:v>
      </x:c>
      <x:c r="N19" s="147" t="n">
        <x:f>ABS(M19-L19)</x:f>
        <x:v>1.5</x:v>
      </x:c>
    </x:row>
  </x:sheetData>
  <x:mergeCells>
    <x:mergeCell ref="A1:N1"/>
  </x:mergeCells>
  <x:conditionalFormatting sqref="N5:N1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3">
    <x:dataValidation type="list" sqref="E5:E19">
      <x:formula1>"Berhasil,Gagal"</x:formula1>
    </x:dataValidation>
    <x:dataValidation type="list" sqref="F5:F19">
      <x:formula1>"Ya,Tidak"</x:formula1>
    </x:dataValidation>
    <x:dataValidation type="list" sqref="K5:K19">
      <x:formula1>"Ya,Tidak"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4" hidden="0" customWidth="1"/>
    <x:col min="4" max="4" width="18" hidden="0" customWidth="1"/>
    <x:col min="5" max="5" width="14" hidden="0" customWidth="1"/>
    <x:col min="6" max="6" width="17" hidden="0" customWidth="1"/>
    <x:col min="7" max="7" width="19" hidden="0" customWidth="1"/>
    <x:col min="8" max="8" width="17" hidden="0" customWidth="1"/>
    <x:col min="9" max="9" width="15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34" customHeight="1">
      <x:c r="A1" s="10" t="str">
        <x:v>PENGUJIAN KEDUA – PX_PER_CELL 120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2"/>
    </x:row>
    <x:row r="4" ht="44" customHeight="1">
      <x:c r="A4" s="35" t="str">
        <x:v>No.</x:v>
      </x:c>
      <x:c r="B4" s="36" t="str">
        <x:v>Kode</x:v>
      </x:c>
      <x:c r="C4" s="36" t="str">
        <x:v>PX_PER_CELL</x:v>
      </x:c>
      <x:c r="D4" s="36" t="str">
        <x:v>Jumlah marker
terdeteksi</x:v>
      </x:c>
      <x:c r="E4" s="36" t="str">
        <x:v>Perspektif</x:v>
      </x:c>
      <x:c r="F4" s="36" t="str">
        <x:v>Board terlihat
lurus</x:v>
      </x:c>
      <x:c r="G4" s="36" t="str">
        <x:v>Tinggi board
hasil warp (px)</x:v>
      </x:c>
      <x:c r="H4" s="36" t="str">
        <x:v>cmPerPixel
(cm/px)</x:v>
      </x:c>
      <x:c r="I4" s="36" t="str">
        <x:v>Lebar output
(px)</x:v>
      </x:c>
      <x:c r="J4" s="36" t="str">
        <x:v>Tinggi output/
canvas (px)</x:v>
      </x:c>
      <x:c r="K4" s="36" t="str">
        <x:v>Tubuh/board
terpotong</x:v>
      </x:c>
      <x:c r="L4" s="36" t="str">
        <x:v>Tinggi aktual/
referensi (cm)</x:v>
      </x:c>
      <x:c r="M4" s="36" t="str">
        <x:v>Hasil aplikasi
(cm)</x:v>
      </x:c>
      <x:c r="N4" s="37" t="str">
        <x:v>Error absolut
(cm)</x:v>
      </x:c>
    </x:row>
    <x:row r="5" ht="25" customHeight="1">
      <x:c r="A5" s="208" t="n">
        <x:v>1</x:v>
      </x:c>
      <x:c r="B5" s="209" t="str">
        <x:v>C01</x:v>
      </x:c>
      <x:c r="C5" s="209" t="n">
        <x:v>120</x:v>
      </x:c>
      <x:c r="D5" s="114"/>
      <x:c r="E5" s="173" t="str">
        <x:v>Berhasil</x:v>
      </x:c>
      <x:c r="F5" s="106" t="str">
        <x:v>Ya</x:v>
      </x:c>
      <x:c r="G5" s="220" t="n">
        <x:f>C5*19.35</x:f>
        <x:v>2322</x:v>
      </x:c>
      <x:c r="H5" s="226" t="n">
        <x:f>200/G5</x:f>
        <x:v>0.08613264427217916</x:v>
      </x:c>
      <x:c r="I5" s="220" t="n">
        <x:f>C5*11</x:f>
        <x:v>1320</x:v>
      </x:c>
      <x:c r="J5" s="220" t="n">
        <x:f>C5*25.3</x:f>
        <x:v>3036</x:v>
      </x:c>
      <x:c r="K5" s="106" t="str">
        <x:v>Tidak</x:v>
      </x:c>
      <x:c r="L5" s="220" t="n">
        <x:v>169</x:v>
      </x:c>
      <x:c r="M5" s="142" t="n">
        <x:v>167.3</x:v>
      </x:c>
      <x:c r="N5" s="232" t="n">
        <x:f>ABS(M5-L5)</x:f>
        <x:v>1.6999999999999886</x:v>
      </x:c>
    </x:row>
    <x:row r="6" ht="25" customHeight="1">
      <x:c r="A6" s="210" t="n">
        <x:v>2</x:v>
      </x:c>
      <x:c r="B6" s="211" t="str">
        <x:v>C02</x:v>
      </x:c>
      <x:c r="C6" s="211" t="n">
        <x:v>120</x:v>
      </x:c>
      <x:c r="D6" s="117"/>
      <x:c r="E6" s="176" t="str">
        <x:v>Berhasil</x:v>
      </x:c>
      <x:c r="F6" s="107" t="str">
        <x:v>Ya</x:v>
      </x:c>
      <x:c r="G6" s="221" t="n">
        <x:f>C6*19.35</x:f>
        <x:v>2322</x:v>
      </x:c>
      <x:c r="H6" s="227" t="n">
        <x:f>200/G6</x:f>
        <x:v>0.08613264427217916</x:v>
      </x:c>
      <x:c r="I6" s="221" t="n">
        <x:f>C6*11</x:f>
        <x:v>1320</x:v>
      </x:c>
      <x:c r="J6" s="221" t="n">
        <x:f>C6*25.3</x:f>
        <x:v>3036</x:v>
      </x:c>
      <x:c r="K6" s="107" t="str">
        <x:v>Tidak</x:v>
      </x:c>
      <x:c r="L6" s="221" t="n">
        <x:v>160</x:v>
      </x:c>
      <x:c r="M6" s="144" t="n">
        <x:v>159.9</x:v>
      </x:c>
      <x:c r="N6" s="233" t="n">
        <x:f>ABS(M6-L6)</x:f>
        <x:v>0.09999999999999432</x:v>
      </x:c>
    </x:row>
    <x:row r="7" ht="25" customHeight="1">
      <x:c r="A7" s="210" t="n">
        <x:v>3</x:v>
      </x:c>
      <x:c r="B7" s="211" t="str">
        <x:v>C03</x:v>
      </x:c>
      <x:c r="C7" s="211" t="n">
        <x:v>120</x:v>
      </x:c>
      <x:c r="D7" s="117"/>
      <x:c r="E7" s="176" t="str">
        <x:v>Berhasil</x:v>
      </x:c>
      <x:c r="F7" s="107" t="str">
        <x:v>Ya</x:v>
      </x:c>
      <x:c r="G7" s="221" t="n">
        <x:f>C7*19.35</x:f>
        <x:v>2322</x:v>
      </x:c>
      <x:c r="H7" s="227" t="n">
        <x:f>200/G7</x:f>
        <x:v>0.08613264427217916</x:v>
      </x:c>
      <x:c r="I7" s="221" t="n">
        <x:f>C7*11</x:f>
        <x:v>1320</x:v>
      </x:c>
      <x:c r="J7" s="221" t="n">
        <x:f>C7*25.3</x:f>
        <x:v>3036</x:v>
      </x:c>
      <x:c r="K7" s="107" t="str">
        <x:v>Tidak</x:v>
      </x:c>
      <x:c r="L7" s="221" t="n">
        <x:v>168</x:v>
      </x:c>
      <x:c r="M7" s="144" t="n">
        <x:v>168.6</x:v>
      </x:c>
      <x:c r="N7" s="233" t="n">
        <x:f>ABS(M7-L7)</x:f>
        <x:v>0.5999999999999943</x:v>
      </x:c>
    </x:row>
    <x:row r="8" ht="25" customHeight="1">
      <x:c r="A8" s="210" t="n">
        <x:v>4</x:v>
      </x:c>
      <x:c r="B8" s="211" t="str">
        <x:v>C04</x:v>
      </x:c>
      <x:c r="C8" s="211" t="n">
        <x:v>120</x:v>
      </x:c>
      <x:c r="D8" s="117"/>
      <x:c r="E8" s="176" t="str">
        <x:v>Berhasil</x:v>
      </x:c>
      <x:c r="F8" s="107" t="str">
        <x:v>Ya</x:v>
      </x:c>
      <x:c r="G8" s="221" t="n">
        <x:f>C8*19.35</x:f>
        <x:v>2322</x:v>
      </x:c>
      <x:c r="H8" s="227" t="n">
        <x:f>200/G8</x:f>
        <x:v>0.08613264427217916</x:v>
      </x:c>
      <x:c r="I8" s="221" t="n">
        <x:f>C8*11</x:f>
        <x:v>1320</x:v>
      </x:c>
      <x:c r="J8" s="221" t="n">
        <x:f>C8*25.3</x:f>
        <x:v>3036</x:v>
      </x:c>
      <x:c r="K8" s="107" t="str">
        <x:v>Tidak</x:v>
      </x:c>
      <x:c r="L8" s="221" t="n">
        <x:v>153</x:v>
      </x:c>
      <x:c r="M8" s="144" t="n">
        <x:v>150.1</x:v>
      </x:c>
      <x:c r="N8" s="233" t="n">
        <x:f>ABS(M8-L8)</x:f>
        <x:v>2.9000000000000057</x:v>
      </x:c>
    </x:row>
    <x:row r="9" ht="25" customHeight="1">
      <x:c r="A9" s="210" t="n">
        <x:v>5</x:v>
      </x:c>
      <x:c r="B9" s="211" t="str">
        <x:v>C05</x:v>
      </x:c>
      <x:c r="C9" s="211" t="n">
        <x:v>120</x:v>
      </x:c>
      <x:c r="D9" s="117"/>
      <x:c r="E9" s="176" t="str">
        <x:v>Berhasil</x:v>
      </x:c>
      <x:c r="F9" s="107" t="str">
        <x:v>Ya</x:v>
      </x:c>
      <x:c r="G9" s="221" t="n">
        <x:f>C9*19.35</x:f>
        <x:v>2322</x:v>
      </x:c>
      <x:c r="H9" s="227" t="n">
        <x:f>200/G9</x:f>
        <x:v>0.08613264427217916</x:v>
      </x:c>
      <x:c r="I9" s="221" t="n">
        <x:f>C9*11</x:f>
        <x:v>1320</x:v>
      </x:c>
      <x:c r="J9" s="221" t="n">
        <x:f>C9*25.3</x:f>
        <x:v>3036</x:v>
      </x:c>
      <x:c r="K9" s="107" t="str">
        <x:v>Tidak</x:v>
      </x:c>
      <x:c r="L9" s="221" t="n">
        <x:v>164</x:v>
      </x:c>
      <x:c r="M9" s="144" t="n">
        <x:v>162.3</x:v>
      </x:c>
      <x:c r="N9" s="233" t="n">
        <x:f>ABS(M9-L9)</x:f>
        <x:v>1.6999999999999886</x:v>
      </x:c>
    </x:row>
    <x:row r="10" ht="25" customHeight="1">
      <x:c r="A10" s="210" t="n">
        <x:v>6</x:v>
      </x:c>
      <x:c r="B10" s="211" t="str">
        <x:v>C06</x:v>
      </x:c>
      <x:c r="C10" s="211" t="n">
        <x:v>120</x:v>
      </x:c>
      <x:c r="D10" s="117"/>
      <x:c r="E10" s="176" t="str">
        <x:v>Berhasil</x:v>
      </x:c>
      <x:c r="F10" s="107" t="str">
        <x:v>Ya</x:v>
      </x:c>
      <x:c r="G10" s="221" t="n">
        <x:f>C10*19.35</x:f>
        <x:v>2322</x:v>
      </x:c>
      <x:c r="H10" s="227" t="n">
        <x:f>200/G10</x:f>
        <x:v>0.08613264427217916</x:v>
      </x:c>
      <x:c r="I10" s="221" t="n">
        <x:f>C10*11</x:f>
        <x:v>1320</x:v>
      </x:c>
      <x:c r="J10" s="221" t="n">
        <x:f>C10*25.3</x:f>
        <x:v>3036</x:v>
      </x:c>
      <x:c r="K10" s="107" t="str">
        <x:v>Tidak</x:v>
      </x:c>
      <x:c r="L10" s="221" t="n">
        <x:v>167</x:v>
      </x:c>
      <x:c r="M10" s="144" t="n">
        <x:v>165.6</x:v>
      </x:c>
      <x:c r="N10" s="233" t="n">
        <x:f>ABS(M10-L10)</x:f>
        <x:v>1.4000000000000057</x:v>
      </x:c>
    </x:row>
    <x:row r="11" ht="25" customHeight="1">
      <x:c r="A11" s="210" t="n">
        <x:v>7</x:v>
      </x:c>
      <x:c r="B11" s="211" t="str">
        <x:v>C07</x:v>
      </x:c>
      <x:c r="C11" s="211" t="n">
        <x:v>120</x:v>
      </x:c>
      <x:c r="D11" s="117"/>
      <x:c r="E11" s="176" t="str">
        <x:v>Berhasil</x:v>
      </x:c>
      <x:c r="F11" s="107" t="str">
        <x:v>Ya</x:v>
      </x:c>
      <x:c r="G11" s="221" t="n">
        <x:f>C11*19.35</x:f>
        <x:v>2322</x:v>
      </x:c>
      <x:c r="H11" s="227" t="n">
        <x:f>200/G11</x:f>
        <x:v>0.08613264427217916</x:v>
      </x:c>
      <x:c r="I11" s="221" t="n">
        <x:f>C11*11</x:f>
        <x:v>1320</x:v>
      </x:c>
      <x:c r="J11" s="221" t="n">
        <x:f>C11*25.3</x:f>
        <x:v>3036</x:v>
      </x:c>
      <x:c r="K11" s="107" t="str">
        <x:v>Tidak</x:v>
      </x:c>
      <x:c r="L11" s="221" t="n">
        <x:v>157</x:v>
      </x:c>
      <x:c r="M11" s="144" t="n">
        <x:v>155</x:v>
      </x:c>
      <x:c r="N11" s="233" t="n">
        <x:f>ABS(M11-L11)</x:f>
        <x:v>2</x:v>
      </x:c>
    </x:row>
    <x:row r="12" ht="25" customHeight="1">
      <x:c r="A12" s="210" t="n">
        <x:v>8</x:v>
      </x:c>
      <x:c r="B12" s="211" t="str">
        <x:v>C08</x:v>
      </x:c>
      <x:c r="C12" s="211" t="n">
        <x:v>120</x:v>
      </x:c>
      <x:c r="D12" s="117"/>
      <x:c r="E12" s="176" t="str">
        <x:v>Berhasil</x:v>
      </x:c>
      <x:c r="F12" s="107" t="str">
        <x:v>Ya</x:v>
      </x:c>
      <x:c r="G12" s="221" t="n">
        <x:f>C12*19.35</x:f>
        <x:v>2322</x:v>
      </x:c>
      <x:c r="H12" s="227" t="n">
        <x:f>200/G12</x:f>
        <x:v>0.08613264427217916</x:v>
      </x:c>
      <x:c r="I12" s="221" t="n">
        <x:f>C12*11</x:f>
        <x:v>1320</x:v>
      </x:c>
      <x:c r="J12" s="221" t="n">
        <x:f>C12*25.3</x:f>
        <x:v>3036</x:v>
      </x:c>
      <x:c r="K12" s="107" t="str">
        <x:v>Tidak</x:v>
      </x:c>
      <x:c r="L12" s="221" t="n">
        <x:v>152</x:v>
      </x:c>
      <x:c r="M12" s="144" t="n">
        <x:v>152.1</x:v>
      </x:c>
      <x:c r="N12" s="233" t="n">
        <x:f>ABS(M12-L12)</x:f>
        <x:v>0.09999999999999432</x:v>
      </x:c>
    </x:row>
    <x:row r="13" ht="25" customHeight="1">
      <x:c r="A13" s="210" t="n">
        <x:v>9</x:v>
      </x:c>
      <x:c r="B13" s="211" t="str">
        <x:v>C09</x:v>
      </x:c>
      <x:c r="C13" s="211" t="n">
        <x:v>120</x:v>
      </x:c>
      <x:c r="D13" s="117"/>
      <x:c r="E13" s="176" t="str">
        <x:v>Berhasil</x:v>
      </x:c>
      <x:c r="F13" s="107" t="str">
        <x:v>Ya</x:v>
      </x:c>
      <x:c r="G13" s="221" t="n">
        <x:f>C13*19.35</x:f>
        <x:v>2322</x:v>
      </x:c>
      <x:c r="H13" s="227" t="n">
        <x:f>200/G13</x:f>
        <x:v>0.08613264427217916</x:v>
      </x:c>
      <x:c r="I13" s="221" t="n">
        <x:f>C13*11</x:f>
        <x:v>1320</x:v>
      </x:c>
      <x:c r="J13" s="221" t="n">
        <x:f>C13*25.3</x:f>
        <x:v>3036</x:v>
      </x:c>
      <x:c r="K13" s="107" t="str">
        <x:v>Tidak</x:v>
      </x:c>
      <x:c r="L13" s="221" t="n">
        <x:v>166</x:v>
      </x:c>
      <x:c r="M13" s="144" t="n">
        <x:v>169.4</x:v>
      </x:c>
      <x:c r="N13" s="233" t="n">
        <x:f>ABS(M13-L13)</x:f>
        <x:v>3.4000000000000057</x:v>
      </x:c>
    </x:row>
    <x:row r="14" ht="25" customHeight="1">
      <x:c r="A14" s="210" t="n">
        <x:v>10</x:v>
      </x:c>
      <x:c r="B14" s="211" t="str">
        <x:v>C10</x:v>
      </x:c>
      <x:c r="C14" s="211" t="n">
        <x:v>120</x:v>
      </x:c>
      <x:c r="D14" s="117"/>
      <x:c r="E14" s="176" t="str">
        <x:v>Berhasil</x:v>
      </x:c>
      <x:c r="F14" s="107" t="str">
        <x:v>Ya</x:v>
      </x:c>
      <x:c r="G14" s="221" t="n">
        <x:f>C14*19.35</x:f>
        <x:v>2322</x:v>
      </x:c>
      <x:c r="H14" s="227" t="n">
        <x:f>200/G14</x:f>
        <x:v>0.08613264427217916</x:v>
      </x:c>
      <x:c r="I14" s="221" t="n">
        <x:f>C14*11</x:f>
        <x:v>1320</x:v>
      </x:c>
      <x:c r="J14" s="221" t="n">
        <x:f>C14*25.3</x:f>
        <x:v>3036</x:v>
      </x:c>
      <x:c r="K14" s="107" t="str">
        <x:v>Tidak</x:v>
      </x:c>
      <x:c r="L14" s="221" t="n">
        <x:v>165</x:v>
      </x:c>
      <x:c r="M14" s="144" t="n">
        <x:v>162.5</x:v>
      </x:c>
      <x:c r="N14" s="233" t="n">
        <x:f>ABS(M14-L14)</x:f>
        <x:v>2.5</x:v>
      </x:c>
    </x:row>
    <x:row r="15" ht="25" customHeight="1">
      <x:c r="A15" s="210" t="n">
        <x:v>11</x:v>
      </x:c>
      <x:c r="B15" s="211" t="str">
        <x:v>C11</x:v>
      </x:c>
      <x:c r="C15" s="211" t="n">
        <x:v>120</x:v>
      </x:c>
      <x:c r="D15" s="117"/>
      <x:c r="E15" s="176" t="str">
        <x:v>Berhasil</x:v>
      </x:c>
      <x:c r="F15" s="107" t="str">
        <x:v>Ya</x:v>
      </x:c>
      <x:c r="G15" s="221" t="n">
        <x:f>C15*19.35</x:f>
        <x:v>2322</x:v>
      </x:c>
      <x:c r="H15" s="227" t="n">
        <x:f>200/G15</x:f>
        <x:v>0.08613264427217916</x:v>
      </x:c>
      <x:c r="I15" s="221" t="n">
        <x:f>C15*11</x:f>
        <x:v>1320</x:v>
      </x:c>
      <x:c r="J15" s="221" t="n">
        <x:f>C15*25.3</x:f>
        <x:v>3036</x:v>
      </x:c>
      <x:c r="K15" s="107" t="str">
        <x:v>Tidak</x:v>
      </x:c>
      <x:c r="L15" s="221" t="n">
        <x:v>166</x:v>
      </x:c>
      <x:c r="M15" s="144" t="n">
        <x:v>163</x:v>
      </x:c>
      <x:c r="N15" s="233" t="n">
        <x:f>ABS(M15-L15)</x:f>
        <x:v>3</x:v>
      </x:c>
    </x:row>
    <x:row r="16" ht="25" customHeight="1">
      <x:c r="A16" s="210" t="n">
        <x:v>12</x:v>
      </x:c>
      <x:c r="B16" s="211" t="str">
        <x:v>C12</x:v>
      </x:c>
      <x:c r="C16" s="211" t="n">
        <x:v>120</x:v>
      </x:c>
      <x:c r="D16" s="117"/>
      <x:c r="E16" s="176" t="str">
        <x:v>Berhasil</x:v>
      </x:c>
      <x:c r="F16" s="107" t="str">
        <x:v>Ya</x:v>
      </x:c>
      <x:c r="G16" s="221" t="n">
        <x:f>C16*19.35</x:f>
        <x:v>2322</x:v>
      </x:c>
      <x:c r="H16" s="227" t="n">
        <x:f>200/G16</x:f>
        <x:v>0.08613264427217916</x:v>
      </x:c>
      <x:c r="I16" s="221" t="n">
        <x:f>C16*11</x:f>
        <x:v>1320</x:v>
      </x:c>
      <x:c r="J16" s="221" t="n">
        <x:f>C16*25.3</x:f>
        <x:v>3036</x:v>
      </x:c>
      <x:c r="K16" s="107" t="str">
        <x:v>Tidak</x:v>
      </x:c>
      <x:c r="L16" s="221" t="n">
        <x:v>162</x:v>
      </x:c>
      <x:c r="M16" s="144" t="n">
        <x:v>162.2</x:v>
      </x:c>
      <x:c r="N16" s="233" t="n">
        <x:f>ABS(M16-L16)</x:f>
        <x:v>0.19999999999998863</x:v>
      </x:c>
    </x:row>
    <x:row r="17" ht="25" customHeight="1">
      <x:c r="A17" s="210" t="n">
        <x:v>13</x:v>
      </x:c>
      <x:c r="B17" s="211" t="str">
        <x:v>C13</x:v>
      </x:c>
      <x:c r="C17" s="211" t="n">
        <x:v>120</x:v>
      </x:c>
      <x:c r="D17" s="117"/>
      <x:c r="E17" s="176" t="str">
        <x:v>Berhasil</x:v>
      </x:c>
      <x:c r="F17" s="107" t="str">
        <x:v>Ya</x:v>
      </x:c>
      <x:c r="G17" s="221" t="n">
        <x:f>C17*19.35</x:f>
        <x:v>2322</x:v>
      </x:c>
      <x:c r="H17" s="227" t="n">
        <x:f>200/G17</x:f>
        <x:v>0.08613264427217916</x:v>
      </x:c>
      <x:c r="I17" s="221" t="n">
        <x:f>C17*11</x:f>
        <x:v>1320</x:v>
      </x:c>
      <x:c r="J17" s="221" t="n">
        <x:f>C17*25.3</x:f>
        <x:v>3036</x:v>
      </x:c>
      <x:c r="K17" s="107" t="str">
        <x:v>Tidak</x:v>
      </x:c>
      <x:c r="L17" s="221" t="n">
        <x:v>164</x:v>
      </x:c>
      <x:c r="M17" s="144" t="n">
        <x:v>161.2</x:v>
      </x:c>
      <x:c r="N17" s="233" t="n">
        <x:f>ABS(M17-L17)</x:f>
        <x:v>2.8000000000000114</x:v>
      </x:c>
    </x:row>
    <x:row r="18" ht="25" customHeight="1">
      <x:c r="A18" s="210" t="n">
        <x:v>14</x:v>
      </x:c>
      <x:c r="B18" s="211" t="str">
        <x:v>C14</x:v>
      </x:c>
      <x:c r="C18" s="211" t="n">
        <x:v>120</x:v>
      </x:c>
      <x:c r="D18" s="117"/>
      <x:c r="E18" s="176" t="str">
        <x:v>Berhasil</x:v>
      </x:c>
      <x:c r="F18" s="107" t="str">
        <x:v>Ya</x:v>
      </x:c>
      <x:c r="G18" s="221" t="n">
        <x:f>C18*19.35</x:f>
        <x:v>2322</x:v>
      </x:c>
      <x:c r="H18" s="227" t="n">
        <x:f>200/G18</x:f>
        <x:v>0.08613264427217916</x:v>
      </x:c>
      <x:c r="I18" s="221" t="n">
        <x:f>C18*11</x:f>
        <x:v>1320</x:v>
      </x:c>
      <x:c r="J18" s="221" t="n">
        <x:f>C18*25.3</x:f>
        <x:v>3036</x:v>
      </x:c>
      <x:c r="K18" s="107" t="str">
        <x:v>Tidak</x:v>
      </x:c>
      <x:c r="L18" s="221" t="n">
        <x:v>161</x:v>
      </x:c>
      <x:c r="M18" s="144" t="n">
        <x:v>164.4</x:v>
      </x:c>
      <x:c r="N18" s="233" t="n">
        <x:f>ABS(M18-L18)</x:f>
        <x:v>3.4000000000000057</x:v>
      </x:c>
    </x:row>
    <x:row r="19" ht="25" customHeight="1">
      <x:c r="A19" s="212" t="n">
        <x:v>15</x:v>
      </x:c>
      <x:c r="B19" s="213" t="str">
        <x:v>C15</x:v>
      </x:c>
      <x:c r="C19" s="213" t="n">
        <x:v>120</x:v>
      </x:c>
      <x:c r="D19" s="120"/>
      <x:c r="E19" s="179" t="str">
        <x:v>Berhasil</x:v>
      </x:c>
      <x:c r="F19" s="108" t="str">
        <x:v>Ya</x:v>
      </x:c>
      <x:c r="G19" s="222" t="n">
        <x:f>C19*19.35</x:f>
        <x:v>2322</x:v>
      </x:c>
      <x:c r="H19" s="228" t="n">
        <x:f>200/G19</x:f>
        <x:v>0.08613264427217916</x:v>
      </x:c>
      <x:c r="I19" s="222" t="n">
        <x:f>C19*11</x:f>
        <x:v>1320</x:v>
      </x:c>
      <x:c r="J19" s="222" t="n">
        <x:f>C19*25.3</x:f>
        <x:v>3036</x:v>
      </x:c>
      <x:c r="K19" s="108" t="str">
        <x:v>Tidak</x:v>
      </x:c>
      <x:c r="L19" s="222" t="n">
        <x:v>175</x:v>
      </x:c>
      <x:c r="M19" s="146" t="n">
        <x:v>177.2</x:v>
      </x:c>
      <x:c r="N19" s="234" t="n">
        <x:f>ABS(M19-L19)</x:f>
        <x:v>2.1999999999999886</x:v>
      </x:c>
    </x:row>
  </x:sheetData>
  <x:mergeCells>
    <x:mergeCell ref="A1:N1"/>
  </x:mergeCells>
  <x:conditionalFormatting sqref="N5:N1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3">
    <x:dataValidation type="list" sqref="E5:E19">
      <x:formula1>"Berhasil,Gagal"</x:formula1>
    </x:dataValidation>
    <x:dataValidation type="list" sqref="F5:F19">
      <x:formula1>"Ya,Tidak"</x:formula1>
    </x:dataValidation>
    <x:dataValidation type="list" sqref="K5:K19">
      <x:formula1>"Ya,Tidak"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4" hidden="0" customWidth="1"/>
    <x:col min="4" max="4" width="18" hidden="0" customWidth="1"/>
    <x:col min="5" max="5" width="14" hidden="0" customWidth="1"/>
    <x:col min="6" max="6" width="17" hidden="0" customWidth="1"/>
    <x:col min="7" max="7" width="19" hidden="0" customWidth="1"/>
    <x:col min="8" max="8" width="17" hidden="0" customWidth="1"/>
    <x:col min="9" max="9" width="15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34" customHeight="1">
      <x:c r="A1" s="10" t="str">
        <x:v>PENGUJIAN KEDUA – PX_PER_CELL 150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2"/>
    </x:row>
    <x:row r="4" ht="44" customHeight="1">
      <x:c r="A4" s="35" t="str">
        <x:v>No.</x:v>
      </x:c>
      <x:c r="B4" s="36" t="str">
        <x:v>Kode</x:v>
      </x:c>
      <x:c r="C4" s="36" t="str">
        <x:v>PX_PER_CELL</x:v>
      </x:c>
      <x:c r="D4" s="36" t="str">
        <x:v>Jumlah marker
terdeteksi</x:v>
      </x:c>
      <x:c r="E4" s="36" t="str">
        <x:v>Perspektif</x:v>
      </x:c>
      <x:c r="F4" s="36" t="str">
        <x:v>Board terlihat
lurus</x:v>
      </x:c>
      <x:c r="G4" s="36" t="str">
        <x:v>Tinggi board
hasil warp (px)</x:v>
      </x:c>
      <x:c r="H4" s="36" t="str">
        <x:v>cmPerPixel
(cm/px)</x:v>
      </x:c>
      <x:c r="I4" s="36" t="str">
        <x:v>Lebar output
(px)</x:v>
      </x:c>
      <x:c r="J4" s="36" t="str">
        <x:v>Tinggi output/
canvas (px)</x:v>
      </x:c>
      <x:c r="K4" s="36" t="str">
        <x:v>Tubuh/board
terpotong</x:v>
      </x:c>
      <x:c r="L4" s="36" t="str">
        <x:v>Tinggi aktual/
referensi (cm)</x:v>
      </x:c>
      <x:c r="M4" s="36" t="str">
        <x:v>Hasil aplikasi
(cm)</x:v>
      </x:c>
      <x:c r="N4" s="37" t="str">
        <x:v>Error absolut
(cm)</x:v>
      </x:c>
    </x:row>
    <x:row r="5" ht="25" customHeight="1">
      <x:c r="A5" s="292" t="n">
        <x:v>1</x:v>
      </x:c>
      <x:c r="B5" s="293" t="str">
        <x:v>C01</x:v>
      </x:c>
      <x:c r="C5" s="293" t="n">
        <x:v>150</x:v>
      </x:c>
      <x:c r="D5" s="114"/>
      <x:c r="E5" s="257" t="str">
        <x:v>Berhasil</x:v>
      </x:c>
      <x:c r="F5" s="106" t="str">
        <x:v>Ya</x:v>
      </x:c>
      <x:c r="G5" s="304" t="n">
        <x:f>C5*19.35</x:f>
        <x:v>2902.5</x:v>
      </x:c>
      <x:c r="H5" s="310" t="n">
        <x:f>200/G5</x:f>
        <x:v>0.06890611541774333</x:v>
      </x:c>
      <x:c r="I5" s="304" t="n">
        <x:f>C5*11</x:f>
        <x:v>1650</x:v>
      </x:c>
      <x:c r="J5" s="304" t="n">
        <x:f>C5*25.3</x:f>
        <x:v>3795</x:v>
      </x:c>
      <x:c r="K5" s="106" t="str">
        <x:v>Tidak</x:v>
      </x:c>
      <x:c r="L5" s="304" t="n">
        <x:v>169</x:v>
      </x:c>
      <x:c r="M5" s="142" t="n">
        <x:v>167.4</x:v>
      </x:c>
      <x:c r="N5" s="316" t="n">
        <x:f>ABS(M5-L5)</x:f>
        <x:v>1.5999999999999943</x:v>
      </x:c>
    </x:row>
    <x:row r="6" ht="25" customHeight="1">
      <x:c r="A6" s="294" t="n">
        <x:v>2</x:v>
      </x:c>
      <x:c r="B6" s="295" t="str">
        <x:v>C02</x:v>
      </x:c>
      <x:c r="C6" s="295" t="n">
        <x:v>150</x:v>
      </x:c>
      <x:c r="D6" s="117"/>
      <x:c r="E6" s="260" t="str">
        <x:v>Berhasil</x:v>
      </x:c>
      <x:c r="F6" s="107" t="str">
        <x:v>Ya</x:v>
      </x:c>
      <x:c r="G6" s="305" t="n">
        <x:f>C6*19.35</x:f>
        <x:v>2902.5</x:v>
      </x:c>
      <x:c r="H6" s="311" t="n">
        <x:f>200/G6</x:f>
        <x:v>0.06890611541774333</x:v>
      </x:c>
      <x:c r="I6" s="305" t="n">
        <x:f>C6*11</x:f>
        <x:v>1650</x:v>
      </x:c>
      <x:c r="J6" s="305" t="n">
        <x:f>C6*25.3</x:f>
        <x:v>3795</x:v>
      </x:c>
      <x:c r="K6" s="107" t="str">
        <x:v>Tidak</x:v>
      </x:c>
      <x:c r="L6" s="305" t="n">
        <x:v>160</x:v>
      </x:c>
      <x:c r="M6" s="144" t="n">
        <x:v>160.6</x:v>
      </x:c>
      <x:c r="N6" s="317" t="n">
        <x:f>ABS(M6-L6)</x:f>
        <x:v>0.5999999999999943</x:v>
      </x:c>
    </x:row>
    <x:row r="7" ht="25" customHeight="1">
      <x:c r="A7" s="294" t="n">
        <x:v>3</x:v>
      </x:c>
      <x:c r="B7" s="295" t="str">
        <x:v>C03</x:v>
      </x:c>
      <x:c r="C7" s="295" t="n">
        <x:v>150</x:v>
      </x:c>
      <x:c r="D7" s="117"/>
      <x:c r="E7" s="260" t="str">
        <x:v>Berhasil</x:v>
      </x:c>
      <x:c r="F7" s="107" t="str">
        <x:v>Ya</x:v>
      </x:c>
      <x:c r="G7" s="305" t="n">
        <x:f>C7*19.35</x:f>
        <x:v>2902.5</x:v>
      </x:c>
      <x:c r="H7" s="311" t="n">
        <x:f>200/G7</x:f>
        <x:v>0.06890611541774333</x:v>
      </x:c>
      <x:c r="I7" s="305" t="n">
        <x:f>C7*11</x:f>
        <x:v>1650</x:v>
      </x:c>
      <x:c r="J7" s="305" t="n">
        <x:f>C7*25.3</x:f>
        <x:v>3795</x:v>
      </x:c>
      <x:c r="K7" s="107" t="str">
        <x:v>Tidak</x:v>
      </x:c>
      <x:c r="L7" s="305" t="n">
        <x:v>168</x:v>
      </x:c>
      <x:c r="M7" s="144" t="n">
        <x:v>168.2</x:v>
      </x:c>
      <x:c r="N7" s="317" t="n">
        <x:f>ABS(M7-L7)</x:f>
        <x:v>0.19999999999998863</x:v>
      </x:c>
    </x:row>
    <x:row r="8" ht="25" customHeight="1">
      <x:c r="A8" s="294" t="n">
        <x:v>4</x:v>
      </x:c>
      <x:c r="B8" s="295" t="str">
        <x:v>C04</x:v>
      </x:c>
      <x:c r="C8" s="295" t="n">
        <x:v>150</x:v>
      </x:c>
      <x:c r="D8" s="117"/>
      <x:c r="E8" s="260" t="str">
        <x:v>Berhasil</x:v>
      </x:c>
      <x:c r="F8" s="107" t="str">
        <x:v>Ya</x:v>
      </x:c>
      <x:c r="G8" s="305" t="n">
        <x:f>C8*19.35</x:f>
        <x:v>2902.5</x:v>
      </x:c>
      <x:c r="H8" s="311" t="n">
        <x:f>200/G8</x:f>
        <x:v>0.06890611541774333</x:v>
      </x:c>
      <x:c r="I8" s="305" t="n">
        <x:f>C8*11</x:f>
        <x:v>1650</x:v>
      </x:c>
      <x:c r="J8" s="305" t="n">
        <x:f>C8*25.3</x:f>
        <x:v>3795</x:v>
      </x:c>
      <x:c r="K8" s="107" t="str">
        <x:v>Tidak</x:v>
      </x:c>
      <x:c r="L8" s="305" t="n">
        <x:v>153</x:v>
      </x:c>
      <x:c r="M8" s="144" t="n">
        <x:v>150.2</x:v>
      </x:c>
      <x:c r="N8" s="317" t="n">
        <x:f>ABS(M8-L8)</x:f>
        <x:v>2.8000000000000114</x:v>
      </x:c>
    </x:row>
    <x:row r="9" ht="25" customHeight="1">
      <x:c r="A9" s="294" t="n">
        <x:v>5</x:v>
      </x:c>
      <x:c r="B9" s="295" t="str">
        <x:v>C05</x:v>
      </x:c>
      <x:c r="C9" s="295" t="n">
        <x:v>150</x:v>
      </x:c>
      <x:c r="D9" s="117"/>
      <x:c r="E9" s="260" t="str">
        <x:v>Berhasil</x:v>
      </x:c>
      <x:c r="F9" s="107" t="str">
        <x:v>Ya</x:v>
      </x:c>
      <x:c r="G9" s="305" t="n">
        <x:f>C9*19.35</x:f>
        <x:v>2902.5</x:v>
      </x:c>
      <x:c r="H9" s="311" t="n">
        <x:f>200/G9</x:f>
        <x:v>0.06890611541774333</x:v>
      </x:c>
      <x:c r="I9" s="305" t="n">
        <x:f>C9*11</x:f>
        <x:v>1650</x:v>
      </x:c>
      <x:c r="J9" s="305" t="n">
        <x:f>C9*25.3</x:f>
        <x:v>3795</x:v>
      </x:c>
      <x:c r="K9" s="107" t="str">
        <x:v>Tidak</x:v>
      </x:c>
      <x:c r="L9" s="305" t="n">
        <x:v>164</x:v>
      </x:c>
      <x:c r="M9" s="144" t="n">
        <x:v>160.1</x:v>
      </x:c>
      <x:c r="N9" s="317" t="n">
        <x:f>ABS(M9-L9)</x:f>
        <x:v>3.9000000000000057</x:v>
      </x:c>
    </x:row>
    <x:row r="10" ht="25" customHeight="1">
      <x:c r="A10" s="294" t="n">
        <x:v>6</x:v>
      </x:c>
      <x:c r="B10" s="295" t="str">
        <x:v>C06</x:v>
      </x:c>
      <x:c r="C10" s="295" t="n">
        <x:v>150</x:v>
      </x:c>
      <x:c r="D10" s="117"/>
      <x:c r="E10" s="260" t="str">
        <x:v>Berhasil</x:v>
      </x:c>
      <x:c r="F10" s="107" t="str">
        <x:v>Ya</x:v>
      </x:c>
      <x:c r="G10" s="305" t="n">
        <x:f>C10*19.35</x:f>
        <x:v>2902.5</x:v>
      </x:c>
      <x:c r="H10" s="311" t="n">
        <x:f>200/G10</x:f>
        <x:v>0.06890611541774333</x:v>
      </x:c>
      <x:c r="I10" s="305" t="n">
        <x:f>C10*11</x:f>
        <x:v>1650</x:v>
      </x:c>
      <x:c r="J10" s="305" t="n">
        <x:f>C10*25.3</x:f>
        <x:v>3795</x:v>
      </x:c>
      <x:c r="K10" s="107" t="str">
        <x:v>Tidak</x:v>
      </x:c>
      <x:c r="L10" s="305" t="n">
        <x:v>167</x:v>
      </x:c>
      <x:c r="M10" s="144" t="n">
        <x:v>165.8</x:v>
      </x:c>
      <x:c r="N10" s="317" t="n">
        <x:f>ABS(M10-L10)</x:f>
        <x:v>1.1999999999999886</x:v>
      </x:c>
    </x:row>
    <x:row r="11" ht="25" customHeight="1">
      <x:c r="A11" s="294" t="n">
        <x:v>7</x:v>
      </x:c>
      <x:c r="B11" s="295" t="str">
        <x:v>C07</x:v>
      </x:c>
      <x:c r="C11" s="295" t="n">
        <x:v>150</x:v>
      </x:c>
      <x:c r="D11" s="117"/>
      <x:c r="E11" s="260" t="str">
        <x:v>Berhasil</x:v>
      </x:c>
      <x:c r="F11" s="107" t="str">
        <x:v>Ya</x:v>
      </x:c>
      <x:c r="G11" s="305" t="n">
        <x:f>C11*19.35</x:f>
        <x:v>2902.5</x:v>
      </x:c>
      <x:c r="H11" s="311" t="n">
        <x:f>200/G11</x:f>
        <x:v>0.06890611541774333</x:v>
      </x:c>
      <x:c r="I11" s="305" t="n">
        <x:f>C11*11</x:f>
        <x:v>1650</x:v>
      </x:c>
      <x:c r="J11" s="305" t="n">
        <x:f>C11*25.3</x:f>
        <x:v>3795</x:v>
      </x:c>
      <x:c r="K11" s="107" t="str">
        <x:v>Tidak</x:v>
      </x:c>
      <x:c r="L11" s="305" t="n">
        <x:v>157</x:v>
      </x:c>
      <x:c r="M11" s="144" t="n">
        <x:v>155.6</x:v>
      </x:c>
      <x:c r="N11" s="317" t="n">
        <x:f>ABS(M11-L11)</x:f>
        <x:v>1.4000000000000057</x:v>
      </x:c>
    </x:row>
    <x:row r="12" ht="25" customHeight="1">
      <x:c r="A12" s="294" t="n">
        <x:v>8</x:v>
      </x:c>
      <x:c r="B12" s="295" t="str">
        <x:v>C08</x:v>
      </x:c>
      <x:c r="C12" s="295" t="n">
        <x:v>150</x:v>
      </x:c>
      <x:c r="D12" s="117"/>
      <x:c r="E12" s="260" t="str">
        <x:v>Berhasil</x:v>
      </x:c>
      <x:c r="F12" s="107" t="str">
        <x:v>Ya</x:v>
      </x:c>
      <x:c r="G12" s="305" t="n">
        <x:f>C12*19.35</x:f>
        <x:v>2902.5</x:v>
      </x:c>
      <x:c r="H12" s="311" t="n">
        <x:f>200/G12</x:f>
        <x:v>0.06890611541774333</x:v>
      </x:c>
      <x:c r="I12" s="305" t="n">
        <x:f>C12*11</x:f>
        <x:v>1650</x:v>
      </x:c>
      <x:c r="J12" s="305" t="n">
        <x:f>C12*25.3</x:f>
        <x:v>3795</x:v>
      </x:c>
      <x:c r="K12" s="107" t="str">
        <x:v>Tidak</x:v>
      </x:c>
      <x:c r="L12" s="305" t="n">
        <x:v>152</x:v>
      </x:c>
      <x:c r="M12" s="144" t="n">
        <x:v>153.4</x:v>
      </x:c>
      <x:c r="N12" s="317" t="n">
        <x:f>ABS(M12-L12)</x:f>
        <x:v>1.4000000000000057</x:v>
      </x:c>
    </x:row>
    <x:row r="13" ht="25" customHeight="1">
      <x:c r="A13" s="294" t="n">
        <x:v>9</x:v>
      </x:c>
      <x:c r="B13" s="295" t="str">
        <x:v>C09</x:v>
      </x:c>
      <x:c r="C13" s="295" t="n">
        <x:v>150</x:v>
      </x:c>
      <x:c r="D13" s="117"/>
      <x:c r="E13" s="260" t="str">
        <x:v>Berhasil</x:v>
      </x:c>
      <x:c r="F13" s="107" t="str">
        <x:v>Ya</x:v>
      </x:c>
      <x:c r="G13" s="305" t="n">
        <x:f>C13*19.35</x:f>
        <x:v>2902.5</x:v>
      </x:c>
      <x:c r="H13" s="311" t="n">
        <x:f>200/G13</x:f>
        <x:v>0.06890611541774333</x:v>
      </x:c>
      <x:c r="I13" s="305" t="n">
        <x:f>C13*11</x:f>
        <x:v>1650</x:v>
      </x:c>
      <x:c r="J13" s="305" t="n">
        <x:f>C13*25.3</x:f>
        <x:v>3795</x:v>
      </x:c>
      <x:c r="K13" s="107" t="str">
        <x:v>Tidak</x:v>
      </x:c>
      <x:c r="L13" s="305" t="n">
        <x:v>166</x:v>
      </x:c>
      <x:c r="M13" s="144" t="n">
        <x:v>159.5</x:v>
      </x:c>
      <x:c r="N13" s="317" t="n">
        <x:f>ABS(M13-L13)</x:f>
        <x:v>6.5</x:v>
      </x:c>
    </x:row>
    <x:row r="14" ht="25" customHeight="1">
      <x:c r="A14" s="294" t="n">
        <x:v>10</x:v>
      </x:c>
      <x:c r="B14" s="295" t="str">
        <x:v>C10</x:v>
      </x:c>
      <x:c r="C14" s="295" t="n">
        <x:v>150</x:v>
      </x:c>
      <x:c r="D14" s="117"/>
      <x:c r="E14" s="260" t="str">
        <x:v>Berhasil</x:v>
      </x:c>
      <x:c r="F14" s="107" t="str">
        <x:v>Ya</x:v>
      </x:c>
      <x:c r="G14" s="305" t="n">
        <x:f>C14*19.35</x:f>
        <x:v>2902.5</x:v>
      </x:c>
      <x:c r="H14" s="311" t="n">
        <x:f>200/G14</x:f>
        <x:v>0.06890611541774333</x:v>
      </x:c>
      <x:c r="I14" s="305" t="n">
        <x:f>C14*11</x:f>
        <x:v>1650</x:v>
      </x:c>
      <x:c r="J14" s="305" t="n">
        <x:f>C14*25.3</x:f>
        <x:v>3795</x:v>
      </x:c>
      <x:c r="K14" s="107" t="str">
        <x:v>Tidak</x:v>
      </x:c>
      <x:c r="L14" s="305" t="n">
        <x:v>165</x:v>
      </x:c>
      <x:c r="M14" s="144" t="n">
        <x:v>165.3</x:v>
      </x:c>
      <x:c r="N14" s="317" t="n">
        <x:f>ABS(M14-L14)</x:f>
        <x:v>0.30000000000001137</x:v>
      </x:c>
    </x:row>
    <x:row r="15" ht="25" customHeight="1">
      <x:c r="A15" s="294" t="n">
        <x:v>11</x:v>
      </x:c>
      <x:c r="B15" s="295" t="str">
        <x:v>C11</x:v>
      </x:c>
      <x:c r="C15" s="295" t="n">
        <x:v>150</x:v>
      </x:c>
      <x:c r="D15" s="117"/>
      <x:c r="E15" s="260" t="str">
        <x:v>Berhasil</x:v>
      </x:c>
      <x:c r="F15" s="107" t="str">
        <x:v>Ya</x:v>
      </x:c>
      <x:c r="G15" s="305" t="n">
        <x:f>C15*19.35</x:f>
        <x:v>2902.5</x:v>
      </x:c>
      <x:c r="H15" s="311" t="n">
        <x:f>200/G15</x:f>
        <x:v>0.06890611541774333</x:v>
      </x:c>
      <x:c r="I15" s="305" t="n">
        <x:f>C15*11</x:f>
        <x:v>1650</x:v>
      </x:c>
      <x:c r="J15" s="305" t="n">
        <x:f>C15*25.3</x:f>
        <x:v>3795</x:v>
      </x:c>
      <x:c r="K15" s="107" t="str">
        <x:v>Tidak</x:v>
      </x:c>
      <x:c r="L15" s="305" t="n">
        <x:v>166</x:v>
      </x:c>
      <x:c r="M15" s="144" t="n">
        <x:v>163.7</x:v>
      </x:c>
      <x:c r="N15" s="317" t="n">
        <x:f>ABS(M15-L15)</x:f>
        <x:v>2.3000000000000114</x:v>
      </x:c>
    </x:row>
    <x:row r="16" ht="25" customHeight="1">
      <x:c r="A16" s="294" t="n">
        <x:v>12</x:v>
      </x:c>
      <x:c r="B16" s="295" t="str">
        <x:v>C12</x:v>
      </x:c>
      <x:c r="C16" s="295" t="n">
        <x:v>150</x:v>
      </x:c>
      <x:c r="D16" s="117"/>
      <x:c r="E16" s="260" t="str">
        <x:v>Berhasil</x:v>
      </x:c>
      <x:c r="F16" s="107" t="str">
        <x:v>Ya</x:v>
      </x:c>
      <x:c r="G16" s="305" t="n">
        <x:f>C16*19.35</x:f>
        <x:v>2902.5</x:v>
      </x:c>
      <x:c r="H16" s="311" t="n">
        <x:f>200/G16</x:f>
        <x:v>0.06890611541774333</x:v>
      </x:c>
      <x:c r="I16" s="305" t="n">
        <x:f>C16*11</x:f>
        <x:v>1650</x:v>
      </x:c>
      <x:c r="J16" s="305" t="n">
        <x:f>C16*25.3</x:f>
        <x:v>3795</x:v>
      </x:c>
      <x:c r="K16" s="107" t="str">
        <x:v>Tidak</x:v>
      </x:c>
      <x:c r="L16" s="305" t="n">
        <x:v>162</x:v>
      </x:c>
      <x:c r="M16" s="144" t="n">
        <x:v>161.7</x:v>
      </x:c>
      <x:c r="N16" s="317" t="n">
        <x:f>ABS(M16-L16)</x:f>
        <x:v>0.30000000000001137</x:v>
      </x:c>
    </x:row>
    <x:row r="17" ht="25" customHeight="1">
      <x:c r="A17" s="294" t="n">
        <x:v>13</x:v>
      </x:c>
      <x:c r="B17" s="295" t="str">
        <x:v>C13</x:v>
      </x:c>
      <x:c r="C17" s="295" t="n">
        <x:v>150</x:v>
      </x:c>
      <x:c r="D17" s="117"/>
      <x:c r="E17" s="260" t="str">
        <x:v>Berhasil</x:v>
      </x:c>
      <x:c r="F17" s="107" t="str">
        <x:v>Ya</x:v>
      </x:c>
      <x:c r="G17" s="305" t="n">
        <x:f>C17*19.35</x:f>
        <x:v>2902.5</x:v>
      </x:c>
      <x:c r="H17" s="311" t="n">
        <x:f>200/G17</x:f>
        <x:v>0.06890611541774333</x:v>
      </x:c>
      <x:c r="I17" s="305" t="n">
        <x:f>C17*11</x:f>
        <x:v>1650</x:v>
      </x:c>
      <x:c r="J17" s="305" t="n">
        <x:f>C17*25.3</x:f>
        <x:v>3795</x:v>
      </x:c>
      <x:c r="K17" s="107" t="str">
        <x:v>Tidak</x:v>
      </x:c>
      <x:c r="L17" s="305" t="n">
        <x:v>164</x:v>
      </x:c>
      <x:c r="M17" s="144" t="n">
        <x:v>162.8</x:v>
      </x:c>
      <x:c r="N17" s="317" t="n">
        <x:f>ABS(M17-L17)</x:f>
        <x:v>1.1999999999999886</x:v>
      </x:c>
    </x:row>
    <x:row r="18" ht="25" customHeight="1">
      <x:c r="A18" s="294" t="n">
        <x:v>14</x:v>
      </x:c>
      <x:c r="B18" s="295" t="str">
        <x:v>C14</x:v>
      </x:c>
      <x:c r="C18" s="295" t="n">
        <x:v>150</x:v>
      </x:c>
      <x:c r="D18" s="117"/>
      <x:c r="E18" s="260" t="str">
        <x:v>Berhasil</x:v>
      </x:c>
      <x:c r="F18" s="107" t="str">
        <x:v>Ya</x:v>
      </x:c>
      <x:c r="G18" s="305" t="n">
        <x:f>C18*19.35</x:f>
        <x:v>2902.5</x:v>
      </x:c>
      <x:c r="H18" s="311" t="n">
        <x:f>200/G18</x:f>
        <x:v>0.06890611541774333</x:v>
      </x:c>
      <x:c r="I18" s="305" t="n">
        <x:f>C18*11</x:f>
        <x:v>1650</x:v>
      </x:c>
      <x:c r="J18" s="305" t="n">
        <x:f>C18*25.3</x:f>
        <x:v>3795</x:v>
      </x:c>
      <x:c r="K18" s="107" t="str">
        <x:v>Tidak</x:v>
      </x:c>
      <x:c r="L18" s="305" t="n">
        <x:v>161</x:v>
      </x:c>
      <x:c r="M18" s="144" t="n">
        <x:v>166.9</x:v>
      </x:c>
      <x:c r="N18" s="317" t="n">
        <x:f>ABS(M18-L18)</x:f>
        <x:v>5.900000000000006</x:v>
      </x:c>
    </x:row>
    <x:row r="19" ht="25" customHeight="1">
      <x:c r="A19" s="296" t="n">
        <x:v>15</x:v>
      </x:c>
      <x:c r="B19" s="297" t="str">
        <x:v>C15</x:v>
      </x:c>
      <x:c r="C19" s="297" t="n">
        <x:v>150</x:v>
      </x:c>
      <x:c r="D19" s="120"/>
      <x:c r="E19" s="263" t="str">
        <x:v>Berhasil</x:v>
      </x:c>
      <x:c r="F19" s="108" t="str">
        <x:v>Ya</x:v>
      </x:c>
      <x:c r="G19" s="306" t="n">
        <x:f>C19*19.35</x:f>
        <x:v>2902.5</x:v>
      </x:c>
      <x:c r="H19" s="312" t="n">
        <x:f>200/G19</x:f>
        <x:v>0.06890611541774333</x:v>
      </x:c>
      <x:c r="I19" s="306" t="n">
        <x:f>C19*11</x:f>
        <x:v>1650</x:v>
      </x:c>
      <x:c r="J19" s="306" t="n">
        <x:f>C19*25.3</x:f>
        <x:v>3795</x:v>
      </x:c>
      <x:c r="K19" s="108" t="str">
        <x:v>Tidak</x:v>
      </x:c>
      <x:c r="L19" s="306" t="n">
        <x:v>175</x:v>
      </x:c>
      <x:c r="M19" s="146" t="n">
        <x:v>182.4</x:v>
      </x:c>
      <x:c r="N19" s="318" t="n">
        <x:f>ABS(M19-L19)</x:f>
        <x:v>7.400000000000006</x:v>
      </x:c>
    </x:row>
  </x:sheetData>
  <x:mergeCells>
    <x:mergeCell ref="A1:N1"/>
  </x:mergeCells>
  <x:conditionalFormatting sqref="N5:N19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dataValidations count="3">
    <x:dataValidation type="list" sqref="E5:E19">
      <x:formula1>"Berhasil,Gagal"</x:formula1>
    </x:dataValidation>
    <x:dataValidation type="list" sqref="F5:F19">
      <x:formula1>"Ya,Tidak"</x:formula1>
    </x:dataValidation>
    <x:dataValidation type="list" sqref="K5:K19">
      <x:formula1>"Ya,Tidak"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2" hidden="0" customWidth="1"/>
    <x:col min="4" max="4" width="48" hidden="0" customWidth="1"/>
  </x:cols>
  <x:sheetData>
    <x:row r="1" ht="28" customHeight="1">
      <x:c r="A1" s="410" t="str">
        <x:v>PARAMETER TETAP PENGUJIAN KETIGA</x:v>
      </x:c>
      <x:c r="B1" s="411" t="str">
        <x:v>PARAMETER TETAP PENGUJIAN KETIGA</x:v>
      </x:c>
      <x:c r="C1" s="411" t="str">
        <x:v>PARAMETER TETAP PENGUJIAN KETIGA</x:v>
      </x:c>
      <x:c r="D1" s="412" t="str">
        <x:v>PARAMETER TETAP PENGUJIAN KETIGA</x:v>
      </x:c>
    </x:row>
    <x:row r="3" ht="42" customHeight="1">
      <x:c r="A3" s="424" t="str">
        <x:v>Parameter</x:v>
      </x:c>
      <x:c r="B3" s="425" t="str">
        <x:v>Nilai</x:v>
      </x:c>
      <x:c r="C3" s="425" t="str">
        <x:v>Satuan</x:v>
      </x:c>
      <x:c r="D3" s="426" t="str">
        <x:v>Asal / kegunaan</x:v>
      </x:c>
    </x:row>
    <x:row r="4">
      <x:c r="A4" s="456" t="str">
        <x:v>PX_PER_CELL terpilih</x:v>
      </x:c>
      <x:c r="B4" s="457" t="n">
        <x:v>120</x:v>
      </x:c>
      <x:c r="C4" s="458" t="str">
        <x:v>px/sel</x:v>
      </x:c>
      <x:c r="D4" s="459" t="str">
        <x:v>Hasil terbaik pengujian kedua (MAE paling kecil)</x:v>
      </x:c>
    </x:row>
    <x:row r="5">
      <x:c r="A5" s="460" t="str">
        <x:v>cmPerPixel</x:v>
      </x:c>
      <x:c r="B5" s="461" t="n">
        <x:f>'PX 120'!H5</x:f>
        <x:v>0.08613264427217916</x:v>
      </x:c>
      <x:c r="C5" s="462" t="str">
        <x:v>cm/px</x:v>
      </x:c>
      <x:c r="D5" s="463" t="str">
        <x:v>200 cm dibagi tinggi board hasil warp pada PX 120</x:v>
      </x:c>
    </x:row>
    <x:row r="6">
      <x:c r="A6" s="460" t="str">
        <x:v>Jarak kamera ke board</x:v>
      </x:c>
      <x:c r="B6" s="464" t="n">
        <x:v>350</x:v>
      </x:c>
      <x:c r="C6" s="462" t="str">
        <x:v>cm</x:v>
      </x:c>
      <x:c r="D6" s="463" t="str">
        <x:v>Konstanta kode MeasurementActivity</x:v>
      </x:c>
    </x:row>
    <x:row r="7">
      <x:c r="A7" s="460" t="str">
        <x:v>Jarak subjek dari board</x:v>
      </x:c>
      <x:c r="B7" s="464" t="n">
        <x:v>50</x:v>
      </x:c>
      <x:c r="C7" s="462" t="str">
        <x:v>cm</x:v>
      </x:c>
      <x:c r="D7" s="463" t="str">
        <x:v>Konstanta kode MeasurementActivity</x:v>
      </x:c>
    </x:row>
    <x:row r="8">
      <x:c r="A8" s="460" t="str">
        <x:v>Faktor kedalaman</x:v>
      </x:c>
      <x:c r="B8" s="461" t="n">
        <x:f>(B6-B7)/B6</x:f>
        <x:v>0.8571428571428571</x:v>
      </x:c>
      <x:c r="C8" s="462" t="str">
        <x:v>rasio</x:v>
      </x:c>
      <x:c r="D8" s="463" t="str">
        <x:v>(jarak kamera - jarak subjek) / jarak kamera</x:v>
      </x:c>
    </x:row>
    <x:row r="9">
      <x:c r="A9" s="460" t="str">
        <x:v>Faktor kalibrasi tinggi</x:v>
      </x:c>
      <x:c r="B9" s="464" t="n">
        <x:v>1.025</x:v>
      </x:c>
      <x:c r="C9" s="462" t="str">
        <x:v>rasio</x:v>
      </x:c>
      <x:c r="D9" s="463" t="str">
        <x:v>Pengali kalibrasi pada kode</x:v>
      </x:c>
    </x:row>
    <x:row r="10">
      <x:c r="A10" s="460" t="str">
        <x:v>Tinggi board nyata</x:v>
      </x:c>
      <x:c r="B10" s="464" t="n">
        <x:v>200</x:v>
      </x:c>
      <x:c r="C10" s="462" t="str">
        <x:v>cm</x:v>
      </x:c>
      <x:c r="D10" s="463" t="str">
        <x:v>Ukuran fisik total board</x:v>
      </x:c>
    </x:row>
    <x:row r="11">
      <x:c r="A11" s="465" t="str">
        <x:v>Tinggi board dalam sel</x:v>
      </x:c>
      <x:c r="B11" s="466" t="n">
        <x:v>19.35</x:v>
      </x:c>
      <x:c r="C11" s="467" t="str">
        <x:v>sel</x:v>
      </x:c>
      <x:c r="D11" s="468" t="str">
        <x:v>Parameter geometri pada pengujian kedua</x:v>
      </x:c>
    </x:row>
    <x:row r="13" ht="42" customHeight="1">
      <x:c r="A13" s="424" t="str">
        <x:v>PEMERIKSAAN SEBELUM PENGUJIAN</x:v>
      </x:c>
      <x:c r="B13" s="425" t="str">
        <x:v>Nilai</x:v>
      </x:c>
      <x:c r="C13" s="425" t="str">
        <x:v>Status</x:v>
      </x:c>
      <x:c r="D13" s="426" t="str">
        <x:v>Tindakan</x:v>
      </x:c>
    </x:row>
    <x:row r="14">
      <x:c r="A14" s="469" t="str">
        <x:v>PX_PER_CELL pada kode saat tabel dibuat</x:v>
      </x:c>
      <x:c r="B14" s="472" t="n">
        <x:v>150</x:v>
      </x:c>
      <x:c r="C14" s="472" t="str">
        <x:v>BELUM SESUAI</x:v>
      </x:c>
      <x:c r="D14" s="473" t="str">
        <x:v>Ubah PerspectiveCorrectionActivity menjadi 120 sebelum mengambil data uji ketiga</x:v>
      </x:c>
    </x:row>
    <x:row r="15">
      <x:c r="A15" s="470" t="str">
        <x:v>PX_PER_CELL yang wajib dipakai pada uji ketiga</x:v>
      </x:c>
      <x:c r="B15" s="474" t="n">
        <x:v>120</x:v>
      </x:c>
      <x:c r="C15" s="474" t="str">
        <x:v>PARAMETER TERPILIH</x:v>
      </x:c>
      <x:c r="D15" s="475" t="str">
        <x:v>Dipilih karena MAE pengujian kedua paling kecil</x:v>
      </x:c>
    </x:row>
    <x:row r="16">
      <x:c r="A16" s="471" t="str">
        <x:v>Kelengkapan bukti PX 120</x:v>
      </x:c>
      <x:c r="B16" s="476" t="str">
        <x:v>59 dari 60 file</x:v>
      </x:c>
      <x:c r="C16" s="476" t="str">
        <x:v>C14 kurang 1 file</x:v>
      </x:c>
      <x:c r="D16" s="477" t="str">
        <x:v>Lengkapi satu tahap bukti C14 atau beri catatan alasan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5" hidden="0" customWidth="1"/>
    <x:col min="8" max="8" width="15" hidden="0" customWidth="1"/>
    <x:col min="9" max="9" width="14" hidden="0" customWidth="1"/>
    <x:col min="10" max="10" width="16" hidden="0" customWidth="1"/>
    <x:col min="11" max="11" width="16" hidden="0" customWidth="1"/>
    <x:col min="12" max="12" width="13" hidden="0" customWidth="1"/>
    <x:col min="13" max="13" width="16" hidden="0" customWidth="1"/>
    <x:col min="14" max="14" width="14" hidden="0" customWidth="1"/>
    <x:col min="15" max="15" width="13" hidden="0" customWidth="1"/>
    <x:col min="16" max="16" width="14" hidden="0" customWidth="1"/>
    <x:col min="17" max="17" width="13" hidden="0" customWidth="1"/>
    <x:col min="18" max="18" width="13" hidden="0" customWidth="1"/>
    <x:col min="19" max="19" width="14" hidden="0" customWidth="1"/>
    <x:col min="20" max="20" width="28" hidden="0" customWidth="1"/>
  </x:cols>
  <x:sheetData>
    <x:row r="1" ht="28" customHeight="1">
      <x:c r="A1" s="410" t="str">
        <x:v>PENGUJIAN KETIGA – VALIDASI TITIK PUNCAK KEPALA DAN KAKI TERBAWAH</x:v>
      </x:c>
      <x:c r="B1" s="411" t="str">
        <x:v>PENGUJIAN KETIGA – VALIDASI TITIK PUNCAK KEPALA DAN KAKI TERBAWAH</x:v>
      </x:c>
      <x:c r="C1" s="411" t="str">
        <x:v>PENGUJIAN KETIGA – VALIDASI TITIK PUNCAK KEPALA DAN KAKI TERBAWAH</x:v>
      </x:c>
      <x:c r="D1" s="411" t="str">
        <x:v>PENGUJIAN KETIGA – VALIDASI TITIK PUNCAK KEPALA DAN KAKI TERBAWAH</x:v>
      </x:c>
      <x:c r="E1" s="411" t="str">
        <x:v>PENGUJIAN KETIGA – VALIDASI TITIK PUNCAK KEPALA DAN KAKI TERBAWAH</x:v>
      </x:c>
      <x:c r="F1" s="411" t="str">
        <x:v>PENGUJIAN KETIGA – VALIDASI TITIK PUNCAK KEPALA DAN KAKI TERBAWAH</x:v>
      </x:c>
      <x:c r="G1" s="411" t="str">
        <x:v>PENGUJIAN KETIGA – VALIDASI TITIK PUNCAK KEPALA DAN KAKI TERBAWAH</x:v>
      </x:c>
      <x:c r="H1" s="411" t="str">
        <x:v>PENGUJIAN KETIGA – VALIDASI TITIK PUNCAK KEPALA DAN KAKI TERBAWAH</x:v>
      </x:c>
      <x:c r="I1" s="411" t="str">
        <x:v>PENGUJIAN KETIGA – VALIDASI TITIK PUNCAK KEPALA DAN KAKI TERBAWAH</x:v>
      </x:c>
      <x:c r="J1" s="411" t="str">
        <x:v>PENGUJIAN KETIGA – VALIDASI TITIK PUNCAK KEPALA DAN KAKI TERBAWAH</x:v>
      </x:c>
      <x:c r="K1" s="411" t="str">
        <x:v>PENGUJIAN KETIGA – VALIDASI TITIK PUNCAK KEPALA DAN KAKI TERBAWAH</x:v>
      </x:c>
      <x:c r="L1" s="411" t="str">
        <x:v>PENGUJIAN KETIGA – VALIDASI TITIK PUNCAK KEPALA DAN KAKI TERBAWAH</x:v>
      </x:c>
      <x:c r="M1" s="411" t="str">
        <x:v>PENGUJIAN KETIGA – VALIDASI TITIK PUNCAK KEPALA DAN KAKI TERBAWAH</x:v>
      </x:c>
      <x:c r="N1" s="411" t="str">
        <x:v>PENGUJIAN KETIGA – VALIDASI TITIK PUNCAK KEPALA DAN KAKI TERBAWAH</x:v>
      </x:c>
      <x:c r="O1" s="411" t="str">
        <x:v>PENGUJIAN KETIGA – VALIDASI TITIK PUNCAK KEPALA DAN KAKI TERBAWAH</x:v>
      </x:c>
      <x:c r="P1" s="411" t="str">
        <x:v>PENGUJIAN KETIGA – VALIDASI TITIK PUNCAK KEPALA DAN KAKI TERBAWAH</x:v>
      </x:c>
      <x:c r="Q1" s="411" t="str">
        <x:v>PENGUJIAN KETIGA – VALIDASI TITIK PUNCAK KEPALA DAN KAKI TERBAWAH</x:v>
      </x:c>
      <x:c r="R1" s="411" t="str">
        <x:v>PENGUJIAN KETIGA – VALIDASI TITIK PUNCAK KEPALA DAN KAKI TERBAWAH</x:v>
      </x:c>
      <x:c r="S1" s="411" t="str">
        <x:v>PENGUJIAN KETIGA – VALIDASI TITIK PUNCAK KEPALA DAN KAKI TERBAWAH</x:v>
      </x:c>
      <x:c r="T1" s="412" t="str">
        <x:v>PENGUJIAN KETIGA – VALIDASI TITIK PUNCAK KEPALA DAN KAKI TERBAWAH</x:v>
      </x:c>
    </x:row>
    <x:row r="2">
      <x:c r="A2" s="481" t="str">
        <x:v>Tujuan: menguji apakah titik kepala dan kaki yang dipilih aplikasi sesuai dengan penandaan manual pada citra hasil warp.</x:v>
      </x:c>
      <x:c r="B2" s="481"/>
      <x:c r="C2" s="481"/>
      <x:c r="D2" s="481"/>
      <x:c r="E2" s="481"/>
      <x:c r="F2" s="481"/>
      <x:c r="G2" s="481"/>
      <x:c r="H2" s="481"/>
      <x:c r="I2" s="481"/>
      <x:c r="J2" s="481"/>
      <x:c r="K2" s="481"/>
      <x:c r="L2" s="481"/>
      <x:c r="M2" s="481"/>
      <x:c r="N2" s="481"/>
      <x:c r="O2" s="481"/>
      <x:c r="P2" s="481"/>
      <x:c r="Q2" s="481"/>
      <x:c r="R2" s="481"/>
      <x:c r="S2" s="481"/>
      <x:c r="T2" s="481"/>
    </x:row>
    <x:row r="4" ht="42" customHeight="1">
      <x:c r="A4" s="424" t="str">
        <x:v>No.</x:v>
      </x:c>
      <x:c r="B4" s="425" t="str">
        <x:v>Kode citra</x:v>
      </x:c>
      <x:c r="C4" s="425" t="str">
        <x:v>PX_PER_CELL</x:v>
      </x:c>
      <x:c r="D4" s="425" t="str">
        <x:v>Pose tegak</x:v>
      </x:c>
      <x:c r="E4" s="425" t="str">
        <x:v>Kepala terlihat</x:v>
      </x:c>
      <x:c r="F4" s="425" t="str">
        <x:v>Kaki terlihat</x:v>
      </x:c>
      <x:c r="G4" s="425" t="str">
        <x:v>headTop.y aplikasi (px)</x:v>
      </x:c>
      <x:c r="H4" s="425" t="str">
        <x:v>headTop.y manual (px)</x:v>
      </x:c>
      <x:c r="I4" s="425" t="str">
        <x:v>Galat titik kepala (px)</x:v>
      </x:c>
      <x:c r="J4" s="425" t="str">
        <x:v>footBottom.y aplikasi (px)</x:v>
      </x:c>
      <x:c r="K4" s="425" t="str">
        <x:v>footBottom.y manual (px)</x:v>
      </x:c>
      <x:c r="L4" s="425" t="str">
        <x:v>Galat titik kaki (px)</x:v>
      </x:c>
      <x:c r="M4" s="425" t="str">
        <x:v>Tinggi vertikal aplikasi (px)</x:v>
      </x:c>
      <x:c r="N4" s="425" t="str">
        <x:v>cmPerPixel (cm/px)</x:v>
      </x:c>
      <x:c r="O4" s="425" t="str">
        <x:v>Tinggi aktual (cm)</x:v>
      </x:c>
      <x:c r="P4" s="425" t="str">
        <x:v>Hasil aplikasi (cm)</x:v>
      </x:c>
      <x:c r="Q4" s="425" t="str">
        <x:v>Galat absolut (cm)</x:v>
      </x:c>
      <x:c r="R4" s="425" t="str">
        <x:v>Galat relatif (%)</x:v>
      </x:c>
      <x:c r="S4" s="425" t="str">
        <x:v>Waktu proses (detik)</x:v>
      </x:c>
      <x:c r="T4" s="426" t="str">
        <x:v>Catatan</x:v>
      </x:c>
    </x:row>
    <x:row r="5">
      <x:c r="A5" s="490" t="n">
        <x:v>1</x:v>
      </x:c>
      <x:c r="B5" s="491" t="str">
        <x:v>C01</x:v>
      </x:c>
      <x:c r="C5" s="492" t="n">
        <x:v>120</x:v>
      </x:c>
      <x:c r="D5" s="493" t="str">
        <x:v>Tegak</x:v>
      </x:c>
      <x:c r="E5" s="493" t="str">
        <x:v>Ya</x:v>
      </x:c>
      <x:c r="F5" s="493" t="str">
        <x:v>Ya</x:v>
      </x:c>
      <x:c r="G5" s="493"/>
      <x:c r="H5" s="493"/>
      <x:c r="I5" s="502" t="str">
        <x:f>IF(OR(G5="",H5=""),"",ABS(G5-H5))</x:f>
      </x:c>
      <x:c r="J5" s="493"/>
      <x:c r="K5" s="493"/>
      <x:c r="L5" s="502" t="str">
        <x:f>IF(OR(J5="",K5=""),"",ABS(J5-K5))</x:f>
      </x:c>
      <x:c r="M5" s="502" t="str">
        <x:f>IF(OR(G5="",J5=""),"",ABS(J5-G5))</x:f>
      </x:c>
      <x:c r="N5" s="505" t="n">
        <x:f>'PX 120'!$H$5</x:f>
        <x:v>0.08613264427217916</x:v>
      </x:c>
      <x:c r="O5" s="505" t="n">
        <x:f>'PX 120'!L5</x:f>
        <x:v>169</x:v>
      </x:c>
      <x:c r="P5" s="505" t="str">
        <x:f>IF(M5="","",M5*N5*'Parameter Uji 3'!$B$8*'Parameter Uji 3'!$B$9)</x:f>
      </x:c>
      <x:c r="Q5" s="505" t="str">
        <x:f>IF(P5="","",ABS(P5-O5))</x:f>
      </x:c>
      <x:c r="R5" s="508" t="str">
        <x:f>IF(OR(Q5="",O5=0),"",Q5/O5)</x:f>
      </x:c>
      <x:c r="S5" s="511"/>
      <x:c r="T5" s="514"/>
    </x:row>
    <x:row r="6">
      <x:c r="A6" s="494" t="n">
        <x:v>2</x:v>
      </x:c>
      <x:c r="B6" s="495" t="str">
        <x:v>C02</x:v>
      </x:c>
      <x:c r="C6" s="496" t="n">
        <x:v>120</x:v>
      </x:c>
      <x:c r="D6" s="497" t="str">
        <x:v>Tegak</x:v>
      </x:c>
      <x:c r="E6" s="497" t="str">
        <x:v>Ya</x:v>
      </x:c>
      <x:c r="F6" s="497" t="str">
        <x:v>Ya</x:v>
      </x:c>
      <x:c r="G6" s="497"/>
      <x:c r="H6" s="497"/>
      <x:c r="I6" s="503" t="str">
        <x:f>IF(OR(G6="",H6=""),"",ABS(G6-H6))</x:f>
      </x:c>
      <x:c r="J6" s="497"/>
      <x:c r="K6" s="497"/>
      <x:c r="L6" s="503" t="str">
        <x:f>IF(OR(J6="",K6=""),"",ABS(J6-K6))</x:f>
      </x:c>
      <x:c r="M6" s="503" t="str">
        <x:f>IF(OR(G6="",J6=""),"",ABS(J6-G6))</x:f>
      </x:c>
      <x:c r="N6" s="506" t="n">
        <x:f>'PX 120'!$H$5</x:f>
        <x:v>0.08613264427217916</x:v>
      </x:c>
      <x:c r="O6" s="506" t="n">
        <x:f>'PX 120'!L6</x:f>
        <x:v>160</x:v>
      </x:c>
      <x:c r="P6" s="506" t="str">
        <x:f>IF(M6="","",M6*N6*'Parameter Uji 3'!$B$8*'Parameter Uji 3'!$B$9)</x:f>
      </x:c>
      <x:c r="Q6" s="506" t="str">
        <x:f>IF(P6="","",ABS(P6-O6))</x:f>
      </x:c>
      <x:c r="R6" s="509" t="str">
        <x:f>IF(OR(Q6="",O6=0),"",Q6/O6)</x:f>
      </x:c>
      <x:c r="S6" s="512"/>
      <x:c r="T6" s="515"/>
    </x:row>
    <x:row r="7">
      <x:c r="A7" s="494" t="n">
        <x:v>3</x:v>
      </x:c>
      <x:c r="B7" s="495" t="str">
        <x:v>C03</x:v>
      </x:c>
      <x:c r="C7" s="496" t="n">
        <x:v>120</x:v>
      </x:c>
      <x:c r="D7" s="497" t="str">
        <x:v>Tegak</x:v>
      </x:c>
      <x:c r="E7" s="497" t="str">
        <x:v>Ya</x:v>
      </x:c>
      <x:c r="F7" s="497" t="str">
        <x:v>Ya</x:v>
      </x:c>
      <x:c r="G7" s="497"/>
      <x:c r="H7" s="497"/>
      <x:c r="I7" s="503" t="str">
        <x:f>IF(OR(G7="",H7=""),"",ABS(G7-H7))</x:f>
      </x:c>
      <x:c r="J7" s="497"/>
      <x:c r="K7" s="497"/>
      <x:c r="L7" s="503" t="str">
        <x:f>IF(OR(J7="",K7=""),"",ABS(J7-K7))</x:f>
      </x:c>
      <x:c r="M7" s="503" t="str">
        <x:f>IF(OR(G7="",J7=""),"",ABS(J7-G7))</x:f>
      </x:c>
      <x:c r="N7" s="506" t="n">
        <x:f>'PX 120'!$H$5</x:f>
        <x:v>0.08613264427217916</x:v>
      </x:c>
      <x:c r="O7" s="506" t="n">
        <x:f>'PX 120'!L7</x:f>
        <x:v>168</x:v>
      </x:c>
      <x:c r="P7" s="506" t="str">
        <x:f>IF(M7="","",M7*N7*'Parameter Uji 3'!$B$8*'Parameter Uji 3'!$B$9)</x:f>
      </x:c>
      <x:c r="Q7" s="506" t="str">
        <x:f>IF(P7="","",ABS(P7-O7))</x:f>
      </x:c>
      <x:c r="R7" s="509" t="str">
        <x:f>IF(OR(Q7="",O7=0),"",Q7/O7)</x:f>
      </x:c>
      <x:c r="S7" s="512"/>
      <x:c r="T7" s="515"/>
    </x:row>
    <x:row r="8">
      <x:c r="A8" s="494" t="n">
        <x:v>4</x:v>
      </x:c>
      <x:c r="B8" s="495" t="str">
        <x:v>C04</x:v>
      </x:c>
      <x:c r="C8" s="496" t="n">
        <x:v>120</x:v>
      </x:c>
      <x:c r="D8" s="497" t="str">
        <x:v>Tegak</x:v>
      </x:c>
      <x:c r="E8" s="497" t="str">
        <x:v>Ya</x:v>
      </x:c>
      <x:c r="F8" s="497" t="str">
        <x:v>Ya</x:v>
      </x:c>
      <x:c r="G8" s="497"/>
      <x:c r="H8" s="497"/>
      <x:c r="I8" s="503" t="str">
        <x:f>IF(OR(G8="",H8=""),"",ABS(G8-H8))</x:f>
      </x:c>
      <x:c r="J8" s="497"/>
      <x:c r="K8" s="497"/>
      <x:c r="L8" s="503" t="str">
        <x:f>IF(OR(J8="",K8=""),"",ABS(J8-K8))</x:f>
      </x:c>
      <x:c r="M8" s="503" t="str">
        <x:f>IF(OR(G8="",J8=""),"",ABS(J8-G8))</x:f>
      </x:c>
      <x:c r="N8" s="506" t="n">
        <x:f>'PX 120'!$H$5</x:f>
        <x:v>0.08613264427217916</x:v>
      </x:c>
      <x:c r="O8" s="506" t="n">
        <x:f>'PX 120'!L8</x:f>
        <x:v>153</x:v>
      </x:c>
      <x:c r="P8" s="506" t="str">
        <x:f>IF(M8="","",M8*N8*'Parameter Uji 3'!$B$8*'Parameter Uji 3'!$B$9)</x:f>
      </x:c>
      <x:c r="Q8" s="506" t="str">
        <x:f>IF(P8="","",ABS(P8-O8))</x:f>
      </x:c>
      <x:c r="R8" s="509" t="str">
        <x:f>IF(OR(Q8="",O8=0),"",Q8/O8)</x:f>
      </x:c>
      <x:c r="S8" s="512"/>
      <x:c r="T8" s="515"/>
    </x:row>
    <x:row r="9">
      <x:c r="A9" s="494" t="n">
        <x:v>5</x:v>
      </x:c>
      <x:c r="B9" s="495" t="str">
        <x:v>C05</x:v>
      </x:c>
      <x:c r="C9" s="496" t="n">
        <x:v>120</x:v>
      </x:c>
      <x:c r="D9" s="497" t="str">
        <x:v>Tegak</x:v>
      </x:c>
      <x:c r="E9" s="497" t="str">
        <x:v>Ya</x:v>
      </x:c>
      <x:c r="F9" s="497" t="str">
        <x:v>Ya</x:v>
      </x:c>
      <x:c r="G9" s="497"/>
      <x:c r="H9" s="497"/>
      <x:c r="I9" s="503" t="str">
        <x:f>IF(OR(G9="",H9=""),"",ABS(G9-H9))</x:f>
      </x:c>
      <x:c r="J9" s="497"/>
      <x:c r="K9" s="497"/>
      <x:c r="L9" s="503" t="str">
        <x:f>IF(OR(J9="",K9=""),"",ABS(J9-K9))</x:f>
      </x:c>
      <x:c r="M9" s="503" t="str">
        <x:f>IF(OR(G9="",J9=""),"",ABS(J9-G9))</x:f>
      </x:c>
      <x:c r="N9" s="506" t="n">
        <x:f>'PX 120'!$H$5</x:f>
        <x:v>0.08613264427217916</x:v>
      </x:c>
      <x:c r="O9" s="506" t="n">
        <x:f>'PX 120'!L9</x:f>
        <x:v>164</x:v>
      </x:c>
      <x:c r="P9" s="506" t="str">
        <x:f>IF(M9="","",M9*N9*'Parameter Uji 3'!$B$8*'Parameter Uji 3'!$B$9)</x:f>
      </x:c>
      <x:c r="Q9" s="506" t="str">
        <x:f>IF(P9="","",ABS(P9-O9))</x:f>
      </x:c>
      <x:c r="R9" s="509" t="str">
        <x:f>IF(OR(Q9="",O9=0),"",Q9/O9)</x:f>
      </x:c>
      <x:c r="S9" s="512"/>
      <x:c r="T9" s="515"/>
    </x:row>
    <x:row r="10">
      <x:c r="A10" s="494" t="n">
        <x:v>6</x:v>
      </x:c>
      <x:c r="B10" s="495" t="str">
        <x:v>C06</x:v>
      </x:c>
      <x:c r="C10" s="496" t="n">
        <x:v>120</x:v>
      </x:c>
      <x:c r="D10" s="497" t="str">
        <x:v>Tegak</x:v>
      </x:c>
      <x:c r="E10" s="497" t="str">
        <x:v>Ya</x:v>
      </x:c>
      <x:c r="F10" s="497" t="str">
        <x:v>Ya</x:v>
      </x:c>
      <x:c r="G10" s="497"/>
      <x:c r="H10" s="497"/>
      <x:c r="I10" s="503" t="str">
        <x:f>IF(OR(G10="",H10=""),"",ABS(G10-H10))</x:f>
      </x:c>
      <x:c r="J10" s="497"/>
      <x:c r="K10" s="497"/>
      <x:c r="L10" s="503" t="str">
        <x:f>IF(OR(J10="",K10=""),"",ABS(J10-K10))</x:f>
      </x:c>
      <x:c r="M10" s="503" t="str">
        <x:f>IF(OR(G10="",J10=""),"",ABS(J10-G10))</x:f>
      </x:c>
      <x:c r="N10" s="506" t="n">
        <x:f>'PX 120'!$H$5</x:f>
        <x:v>0.08613264427217916</x:v>
      </x:c>
      <x:c r="O10" s="506" t="n">
        <x:f>'PX 120'!L10</x:f>
        <x:v>167</x:v>
      </x:c>
      <x:c r="P10" s="506" t="str">
        <x:f>IF(M10="","",M10*N10*'Parameter Uji 3'!$B$8*'Parameter Uji 3'!$B$9)</x:f>
      </x:c>
      <x:c r="Q10" s="506" t="str">
        <x:f>IF(P10="","",ABS(P10-O10))</x:f>
      </x:c>
      <x:c r="R10" s="509" t="str">
        <x:f>IF(OR(Q10="",O10=0),"",Q10/O10)</x:f>
      </x:c>
      <x:c r="S10" s="512"/>
      <x:c r="T10" s="515"/>
    </x:row>
    <x:row r="11">
      <x:c r="A11" s="494" t="n">
        <x:v>7</x:v>
      </x:c>
      <x:c r="B11" s="495" t="str">
        <x:v>C07</x:v>
      </x:c>
      <x:c r="C11" s="496" t="n">
        <x:v>120</x:v>
      </x:c>
      <x:c r="D11" s="497" t="str">
        <x:v>Tegak</x:v>
      </x:c>
      <x:c r="E11" s="497" t="str">
        <x:v>Ya</x:v>
      </x:c>
      <x:c r="F11" s="497" t="str">
        <x:v>Ya</x:v>
      </x:c>
      <x:c r="G11" s="497"/>
      <x:c r="H11" s="497"/>
      <x:c r="I11" s="503" t="str">
        <x:f>IF(OR(G11="",H11=""),"",ABS(G11-H11))</x:f>
      </x:c>
      <x:c r="J11" s="497"/>
      <x:c r="K11" s="497"/>
      <x:c r="L11" s="503" t="str">
        <x:f>IF(OR(J11="",K11=""),"",ABS(J11-K11))</x:f>
      </x:c>
      <x:c r="M11" s="503" t="str">
        <x:f>IF(OR(G11="",J11=""),"",ABS(J11-G11))</x:f>
      </x:c>
      <x:c r="N11" s="506" t="n">
        <x:f>'PX 120'!$H$5</x:f>
        <x:v>0.08613264427217916</x:v>
      </x:c>
      <x:c r="O11" s="506" t="n">
        <x:f>'PX 120'!L11</x:f>
        <x:v>157</x:v>
      </x:c>
      <x:c r="P11" s="506" t="str">
        <x:f>IF(M11="","",M11*N11*'Parameter Uji 3'!$B$8*'Parameter Uji 3'!$B$9)</x:f>
      </x:c>
      <x:c r="Q11" s="506" t="str">
        <x:f>IF(P11="","",ABS(P11-O11))</x:f>
      </x:c>
      <x:c r="R11" s="509" t="str">
        <x:f>IF(OR(Q11="",O11=0),"",Q11/O11)</x:f>
      </x:c>
      <x:c r="S11" s="512"/>
      <x:c r="T11" s="515"/>
    </x:row>
    <x:row r="12">
      <x:c r="A12" s="494" t="n">
        <x:v>8</x:v>
      </x:c>
      <x:c r="B12" s="495" t="str">
        <x:v>C08</x:v>
      </x:c>
      <x:c r="C12" s="496" t="n">
        <x:v>120</x:v>
      </x:c>
      <x:c r="D12" s="497" t="str">
        <x:v>Tegak</x:v>
      </x:c>
      <x:c r="E12" s="497" t="str">
        <x:v>Ya</x:v>
      </x:c>
      <x:c r="F12" s="497" t="str">
        <x:v>Ya</x:v>
      </x:c>
      <x:c r="G12" s="497"/>
      <x:c r="H12" s="497"/>
      <x:c r="I12" s="503" t="str">
        <x:f>IF(OR(G12="",H12=""),"",ABS(G12-H12))</x:f>
      </x:c>
      <x:c r="J12" s="497"/>
      <x:c r="K12" s="497"/>
      <x:c r="L12" s="503" t="str">
        <x:f>IF(OR(J12="",K12=""),"",ABS(J12-K12))</x:f>
      </x:c>
      <x:c r="M12" s="503" t="str">
        <x:f>IF(OR(G12="",J12=""),"",ABS(J12-G12))</x:f>
      </x:c>
      <x:c r="N12" s="506" t="n">
        <x:f>'PX 120'!$H$5</x:f>
        <x:v>0.08613264427217916</x:v>
      </x:c>
      <x:c r="O12" s="506" t="n">
        <x:f>'PX 120'!L12</x:f>
        <x:v>152</x:v>
      </x:c>
      <x:c r="P12" s="506" t="str">
        <x:f>IF(M12="","",M12*N12*'Parameter Uji 3'!$B$8*'Parameter Uji 3'!$B$9)</x:f>
      </x:c>
      <x:c r="Q12" s="506" t="str">
        <x:f>IF(P12="","",ABS(P12-O12))</x:f>
      </x:c>
      <x:c r="R12" s="509" t="str">
        <x:f>IF(OR(Q12="",O12=0),"",Q12/O12)</x:f>
      </x:c>
      <x:c r="S12" s="512"/>
      <x:c r="T12" s="515"/>
    </x:row>
    <x:row r="13">
      <x:c r="A13" s="494" t="n">
        <x:v>9</x:v>
      </x:c>
      <x:c r="B13" s="495" t="str">
        <x:v>C09</x:v>
      </x:c>
      <x:c r="C13" s="496" t="n">
        <x:v>120</x:v>
      </x:c>
      <x:c r="D13" s="497" t="str">
        <x:v>Tegak</x:v>
      </x:c>
      <x:c r="E13" s="497" t="str">
        <x:v>Ya</x:v>
      </x:c>
      <x:c r="F13" s="497" t="str">
        <x:v>Ya</x:v>
      </x:c>
      <x:c r="G13" s="497"/>
      <x:c r="H13" s="497"/>
      <x:c r="I13" s="503" t="str">
        <x:f>IF(OR(G13="",H13=""),"",ABS(G13-H13))</x:f>
      </x:c>
      <x:c r="J13" s="497"/>
      <x:c r="K13" s="497"/>
      <x:c r="L13" s="503" t="str">
        <x:f>IF(OR(J13="",K13=""),"",ABS(J13-K13))</x:f>
      </x:c>
      <x:c r="M13" s="503" t="str">
        <x:f>IF(OR(G13="",J13=""),"",ABS(J13-G13))</x:f>
      </x:c>
      <x:c r="N13" s="506" t="n">
        <x:f>'PX 120'!$H$5</x:f>
        <x:v>0.08613264427217916</x:v>
      </x:c>
      <x:c r="O13" s="506" t="n">
        <x:f>'PX 120'!L13</x:f>
        <x:v>166</x:v>
      </x:c>
      <x:c r="P13" s="506" t="str">
        <x:f>IF(M13="","",M13*N13*'Parameter Uji 3'!$B$8*'Parameter Uji 3'!$B$9)</x:f>
      </x:c>
      <x:c r="Q13" s="506" t="str">
        <x:f>IF(P13="","",ABS(P13-O13))</x:f>
      </x:c>
      <x:c r="R13" s="509" t="str">
        <x:f>IF(OR(Q13="",O13=0),"",Q13/O13)</x:f>
      </x:c>
      <x:c r="S13" s="512"/>
      <x:c r="T13" s="515"/>
    </x:row>
    <x:row r="14">
      <x:c r="A14" s="494" t="n">
        <x:v>10</x:v>
      </x:c>
      <x:c r="B14" s="495" t="str">
        <x:v>C10</x:v>
      </x:c>
      <x:c r="C14" s="496" t="n">
        <x:v>120</x:v>
      </x:c>
      <x:c r="D14" s="497" t="str">
        <x:v>Tegak</x:v>
      </x:c>
      <x:c r="E14" s="497" t="str">
        <x:v>Ya</x:v>
      </x:c>
      <x:c r="F14" s="497" t="str">
        <x:v>Ya</x:v>
      </x:c>
      <x:c r="G14" s="497"/>
      <x:c r="H14" s="497"/>
      <x:c r="I14" s="503" t="str">
        <x:f>IF(OR(G14="",H14=""),"",ABS(G14-H14))</x:f>
      </x:c>
      <x:c r="J14" s="497"/>
      <x:c r="K14" s="497"/>
      <x:c r="L14" s="503" t="str">
        <x:f>IF(OR(J14="",K14=""),"",ABS(J14-K14))</x:f>
      </x:c>
      <x:c r="M14" s="503" t="str">
        <x:f>IF(OR(G14="",J14=""),"",ABS(J14-G14))</x:f>
      </x:c>
      <x:c r="N14" s="506" t="n">
        <x:f>'PX 120'!$H$5</x:f>
        <x:v>0.08613264427217916</x:v>
      </x:c>
      <x:c r="O14" s="506" t="n">
        <x:f>'PX 120'!L14</x:f>
        <x:v>165</x:v>
      </x:c>
      <x:c r="P14" s="506" t="str">
        <x:f>IF(M14="","",M14*N14*'Parameter Uji 3'!$B$8*'Parameter Uji 3'!$B$9)</x:f>
      </x:c>
      <x:c r="Q14" s="506" t="str">
        <x:f>IF(P14="","",ABS(P14-O14))</x:f>
      </x:c>
      <x:c r="R14" s="509" t="str">
        <x:f>IF(OR(Q14="",O14=0),"",Q14/O14)</x:f>
      </x:c>
      <x:c r="S14" s="512"/>
      <x:c r="T14" s="515"/>
    </x:row>
    <x:row r="15">
      <x:c r="A15" s="494" t="n">
        <x:v>11</x:v>
      </x:c>
      <x:c r="B15" s="495" t="str">
        <x:v>C11</x:v>
      </x:c>
      <x:c r="C15" s="496" t="n">
        <x:v>120</x:v>
      </x:c>
      <x:c r="D15" s="497" t="str">
        <x:v>Tegak</x:v>
      </x:c>
      <x:c r="E15" s="497" t="str">
        <x:v>Ya</x:v>
      </x:c>
      <x:c r="F15" s="497" t="str">
        <x:v>Ya</x:v>
      </x:c>
      <x:c r="G15" s="497"/>
      <x:c r="H15" s="497"/>
      <x:c r="I15" s="503" t="str">
        <x:f>IF(OR(G15="",H15=""),"",ABS(G15-H15))</x:f>
      </x:c>
      <x:c r="J15" s="497"/>
      <x:c r="K15" s="497"/>
      <x:c r="L15" s="503" t="str">
        <x:f>IF(OR(J15="",K15=""),"",ABS(J15-K15))</x:f>
      </x:c>
      <x:c r="M15" s="503" t="str">
        <x:f>IF(OR(G15="",J15=""),"",ABS(J15-G15))</x:f>
      </x:c>
      <x:c r="N15" s="506" t="n">
        <x:f>'PX 120'!$H$5</x:f>
        <x:v>0.08613264427217916</x:v>
      </x:c>
      <x:c r="O15" s="506" t="n">
        <x:f>'PX 120'!L15</x:f>
        <x:v>166</x:v>
      </x:c>
      <x:c r="P15" s="506" t="str">
        <x:f>IF(M15="","",M15*N15*'Parameter Uji 3'!$B$8*'Parameter Uji 3'!$B$9)</x:f>
      </x:c>
      <x:c r="Q15" s="506" t="str">
        <x:f>IF(P15="","",ABS(P15-O15))</x:f>
      </x:c>
      <x:c r="R15" s="509" t="str">
        <x:f>IF(OR(Q15="",O15=0),"",Q15/O15)</x:f>
      </x:c>
      <x:c r="S15" s="512"/>
      <x:c r="T15" s="515"/>
    </x:row>
    <x:row r="16">
      <x:c r="A16" s="494" t="n">
        <x:v>12</x:v>
      </x:c>
      <x:c r="B16" s="495" t="str">
        <x:v>C12</x:v>
      </x:c>
      <x:c r="C16" s="496" t="n">
        <x:v>120</x:v>
      </x:c>
      <x:c r="D16" s="497" t="str">
        <x:v>Tegak</x:v>
      </x:c>
      <x:c r="E16" s="497" t="str">
        <x:v>Ya</x:v>
      </x:c>
      <x:c r="F16" s="497" t="str">
        <x:v>Ya</x:v>
      </x:c>
      <x:c r="G16" s="497"/>
      <x:c r="H16" s="497"/>
      <x:c r="I16" s="503" t="str">
        <x:f>IF(OR(G16="",H16=""),"",ABS(G16-H16))</x:f>
      </x:c>
      <x:c r="J16" s="497"/>
      <x:c r="K16" s="497"/>
      <x:c r="L16" s="503" t="str">
        <x:f>IF(OR(J16="",K16=""),"",ABS(J16-K16))</x:f>
      </x:c>
      <x:c r="M16" s="503" t="str">
        <x:f>IF(OR(G16="",J16=""),"",ABS(J16-G16))</x:f>
      </x:c>
      <x:c r="N16" s="506" t="n">
        <x:f>'PX 120'!$H$5</x:f>
        <x:v>0.08613264427217916</x:v>
      </x:c>
      <x:c r="O16" s="506" t="n">
        <x:f>'PX 120'!L16</x:f>
        <x:v>162</x:v>
      </x:c>
      <x:c r="P16" s="506" t="str">
        <x:f>IF(M16="","",M16*N16*'Parameter Uji 3'!$B$8*'Parameter Uji 3'!$B$9)</x:f>
      </x:c>
      <x:c r="Q16" s="506" t="str">
        <x:f>IF(P16="","",ABS(P16-O16))</x:f>
      </x:c>
      <x:c r="R16" s="509" t="str">
        <x:f>IF(OR(Q16="",O16=0),"",Q16/O16)</x:f>
      </x:c>
      <x:c r="S16" s="512"/>
      <x:c r="T16" s="515"/>
    </x:row>
    <x:row r="17">
      <x:c r="A17" s="494" t="n">
        <x:v>13</x:v>
      </x:c>
      <x:c r="B17" s="495" t="str">
        <x:v>C13</x:v>
      </x:c>
      <x:c r="C17" s="496" t="n">
        <x:v>120</x:v>
      </x:c>
      <x:c r="D17" s="497" t="str">
        <x:v>Tegak</x:v>
      </x:c>
      <x:c r="E17" s="497" t="str">
        <x:v>Ya</x:v>
      </x:c>
      <x:c r="F17" s="497" t="str">
        <x:v>Ya</x:v>
      </x:c>
      <x:c r="G17" s="497"/>
      <x:c r="H17" s="497"/>
      <x:c r="I17" s="503" t="str">
        <x:f>IF(OR(G17="",H17=""),"",ABS(G17-H17))</x:f>
      </x:c>
      <x:c r="J17" s="497"/>
      <x:c r="K17" s="497"/>
      <x:c r="L17" s="503" t="str">
        <x:f>IF(OR(J17="",K17=""),"",ABS(J17-K17))</x:f>
      </x:c>
      <x:c r="M17" s="503" t="str">
        <x:f>IF(OR(G17="",J17=""),"",ABS(J17-G17))</x:f>
      </x:c>
      <x:c r="N17" s="506" t="n">
        <x:f>'PX 120'!$H$5</x:f>
        <x:v>0.08613264427217916</x:v>
      </x:c>
      <x:c r="O17" s="506" t="n">
        <x:f>'PX 120'!L17</x:f>
        <x:v>164</x:v>
      </x:c>
      <x:c r="P17" s="506" t="str">
        <x:f>IF(M17="","",M17*N17*'Parameter Uji 3'!$B$8*'Parameter Uji 3'!$B$9)</x:f>
      </x:c>
      <x:c r="Q17" s="506" t="str">
        <x:f>IF(P17="","",ABS(P17-O17))</x:f>
      </x:c>
      <x:c r="R17" s="509" t="str">
        <x:f>IF(OR(Q17="",O17=0),"",Q17/O17)</x:f>
      </x:c>
      <x:c r="S17" s="512"/>
      <x:c r="T17" s="515"/>
    </x:row>
    <x:row r="18">
      <x:c r="A18" s="494" t="n">
        <x:v>14</x:v>
      </x:c>
      <x:c r="B18" s="495" t="str">
        <x:v>C14</x:v>
      </x:c>
      <x:c r="C18" s="496" t="n">
        <x:v>120</x:v>
      </x:c>
      <x:c r="D18" s="497" t="str">
        <x:v>Tegak</x:v>
      </x:c>
      <x:c r="E18" s="497" t="str">
        <x:v>Ya</x:v>
      </x:c>
      <x:c r="F18" s="497" t="str">
        <x:v>Ya</x:v>
      </x:c>
      <x:c r="G18" s="497"/>
      <x:c r="H18" s="497"/>
      <x:c r="I18" s="503" t="str">
        <x:f>IF(OR(G18="",H18=""),"",ABS(G18-H18))</x:f>
      </x:c>
      <x:c r="J18" s="497"/>
      <x:c r="K18" s="497"/>
      <x:c r="L18" s="503" t="str">
        <x:f>IF(OR(J18="",K18=""),"",ABS(J18-K18))</x:f>
      </x:c>
      <x:c r="M18" s="503" t="str">
        <x:f>IF(OR(G18="",J18=""),"",ABS(J18-G18))</x:f>
      </x:c>
      <x:c r="N18" s="506" t="n">
        <x:f>'PX 120'!$H$5</x:f>
        <x:v>0.08613264427217916</x:v>
      </x:c>
      <x:c r="O18" s="506" t="n">
        <x:f>'PX 120'!L18</x:f>
        <x:v>161</x:v>
      </x:c>
      <x:c r="P18" s="506" t="str">
        <x:f>IF(M18="","",M18*N18*'Parameter Uji 3'!$B$8*'Parameter Uji 3'!$B$9)</x:f>
      </x:c>
      <x:c r="Q18" s="506" t="str">
        <x:f>IF(P18="","",ABS(P18-O18))</x:f>
      </x:c>
      <x:c r="R18" s="509" t="str">
        <x:f>IF(OR(Q18="",O18=0),"",Q18/O18)</x:f>
      </x:c>
      <x:c r="S18" s="512"/>
      <x:c r="T18" s="515"/>
    </x:row>
    <x:row r="19">
      <x:c r="A19" s="498" t="n">
        <x:v>15</x:v>
      </x:c>
      <x:c r="B19" s="499" t="str">
        <x:v>C15</x:v>
      </x:c>
      <x:c r="C19" s="500" t="n">
        <x:v>120</x:v>
      </x:c>
      <x:c r="D19" s="501" t="str">
        <x:v>Tegak</x:v>
      </x:c>
      <x:c r="E19" s="501" t="str">
        <x:v>Ya</x:v>
      </x:c>
      <x:c r="F19" s="501" t="str">
        <x:v>Ya</x:v>
      </x:c>
      <x:c r="G19" s="501"/>
      <x:c r="H19" s="501"/>
      <x:c r="I19" s="504" t="str">
        <x:f>IF(OR(G19="",H19=""),"",ABS(G19-H19))</x:f>
      </x:c>
      <x:c r="J19" s="501"/>
      <x:c r="K19" s="501"/>
      <x:c r="L19" s="504" t="str">
        <x:f>IF(OR(J19="",K19=""),"",ABS(J19-K19))</x:f>
      </x:c>
      <x:c r="M19" s="504" t="str">
        <x:f>IF(OR(G19="",J19=""),"",ABS(J19-G19))</x:f>
      </x:c>
      <x:c r="N19" s="507" t="n">
        <x:f>'PX 120'!$H$5</x:f>
        <x:v>0.08613264427217916</x:v>
      </x:c>
      <x:c r="O19" s="507" t="n">
        <x:f>'PX 120'!L19</x:f>
        <x:v>175</x:v>
      </x:c>
      <x:c r="P19" s="507" t="str">
        <x:f>IF(M19="","",M19*N19*'Parameter Uji 3'!$B$8*'Parameter Uji 3'!$B$9)</x:f>
      </x:c>
      <x:c r="Q19" s="507" t="str">
        <x:f>IF(P19="","",ABS(P19-O19))</x:f>
      </x:c>
      <x:c r="R19" s="510" t="str">
        <x:f>IF(OR(Q19="",O19=0),"",Q19/O19)</x:f>
      </x:c>
      <x:c r="S19" s="513"/>
      <x:c r="T19" s="477"/>
    </x:row>
  </x:sheetData>
  <x:mergeCells>
    <x:mergeCell ref="A1:T1"/>
    <x:mergeCell ref="A2:T2"/>
  </x:mergeCells>
  <x:conditionalFormatting sqref="Q5:Q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R5:R19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dataValidations count="2">
    <x:dataValidation type="list" sqref="D5:D19">
      <x:formula1>"Tegak,Tidak Tegak"</x:formula1>
    </x:dataValidation>
    <x:dataValidation type="list" sqref="E5:F19">
      <x:formula1>"Ya,Tidak"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3" hidden="0" customWidth="1"/>
    <x:col min="4" max="4" width="46" hidden="0" customWidth="1"/>
  </x:cols>
  <x:sheetData>
    <x:row r="1" ht="28" customHeight="1">
      <x:c r="A1" s="410" t="str">
        <x:v>RINGKASAN HASIL PENGUJIAN KETIGA</x:v>
      </x:c>
      <x:c r="B1" s="411" t="str">
        <x:v>RINGKASAN HASIL PENGUJIAN KETIGA</x:v>
      </x:c>
      <x:c r="C1" s="411" t="str">
        <x:v>RINGKASAN HASIL PENGUJIAN KETIGA</x:v>
      </x:c>
      <x:c r="D1" s="412" t="str">
        <x:v>RINGKASAN HASIL PENGUJIAN KETIGA</x:v>
      </x:c>
    </x:row>
    <x:row r="3" ht="42" customHeight="1">
      <x:c r="A3" s="424" t="str">
        <x:v>Indikator</x:v>
      </x:c>
      <x:c r="B3" s="425" t="str">
        <x:v>Nilai</x:v>
      </x:c>
      <x:c r="C3" s="425" t="str">
        <x:v>Satuan</x:v>
      </x:c>
      <x:c r="D3" s="426" t="str">
        <x:v>Interpretasi</x:v>
      </x:c>
    </x:row>
    <x:row r="4">
      <x:c r="A4" s="456" t="str">
        <x:v>PX_PER_CELL yang digunakan</x:v>
      </x:c>
      <x:c r="B4" s="520" t="n">
        <x:f>'Parameter Uji 3'!B4</x:f>
        <x:v>120</x:v>
      </x:c>
      <x:c r="C4" s="458" t="str">
        <x:v>px/sel</x:v>
      </x:c>
      <x:c r="D4" s="459" t="str">
        <x:v>Parameter terbaik dari pengujian kedua</x:v>
      </x:c>
    </x:row>
    <x:row r="5">
      <x:c r="A5" s="460" t="str">
        <x:v>Jumlah citra</x:v>
      </x:c>
      <x:c r="B5" s="521" t="n">
        <x:f>COUNTA('Pengujian Ketiga'!B5:B19)</x:f>
        <x:v>15</x:v>
      </x:c>
      <x:c r="C5" s="462" t="str">
        <x:v>citra</x:v>
      </x:c>
      <x:c r="D5" s="463" t="str">
        <x:v>Target 15 citra</x:v>
      </x:c>
    </x:row>
    <x:row r="6">
      <x:c r="A6" s="460" t="str">
        <x:v>Data hasil lengkap</x:v>
      </x:c>
      <x:c r="B6" s="521" t="n">
        <x:f>COUNT('Pengujian Ketiga'!P5:P19)</x:f>
        <x:v>0</x:v>
      </x:c>
      <x:c r="C6" s="462" t="str">
        <x:v>citra</x:v>
      </x:c>
      <x:c r="D6" s="463" t="str">
        <x:v>Terisi jika hasil aplikasi tersedia</x:v>
      </x:c>
    </x:row>
    <x:row r="7">
      <x:c r="A7" s="460" t="str">
        <x:v>Rata-rata galat titik kepala</x:v>
      </x:c>
      <x:c r="B7" s="521" t="str">
        <x:f>IF(COUNT('Pengujian Ketiga'!I5:I19)=0,"",AVERAGE('Pengujian Ketiga'!I5:I19))</x:f>
      </x:c>
      <x:c r="C7" s="462" t="str">
        <x:v>px</x:v>
      </x:c>
      <x:c r="D7" s="463" t="str">
        <x:v>Semakin kecil semakin baik</x:v>
      </x:c>
    </x:row>
    <x:row r="8">
      <x:c r="A8" s="460" t="str">
        <x:v>Rata-rata galat titik kaki</x:v>
      </x:c>
      <x:c r="B8" s="521" t="str">
        <x:f>IF(COUNT('Pengujian Ketiga'!L5:L19)=0,"",AVERAGE('Pengujian Ketiga'!L5:L19))</x:f>
      </x:c>
      <x:c r="C8" s="462" t="str">
        <x:v>px</x:v>
      </x:c>
      <x:c r="D8" s="463" t="str">
        <x:v>Semakin kecil semakin baik</x:v>
      </x:c>
    </x:row>
    <x:row r="9">
      <x:c r="A9" s="460" t="str">
        <x:v>MAE tinggi</x:v>
      </x:c>
      <x:c r="B9" s="521" t="str">
        <x:f>IF(COUNT('Pengujian Ketiga'!Q5:Q19)=0,"",AVERAGE('Pengujian Ketiga'!Q5:Q19))</x:f>
      </x:c>
      <x:c r="C9" s="462" t="str">
        <x:v>cm</x:v>
      </x:c>
      <x:c r="D9" s="463" t="str">
        <x:v>Rata-rata galat absolut terhadap tinggi aktual</x:v>
      </x:c>
    </x:row>
    <x:row r="10">
      <x:c r="A10" s="460" t="str">
        <x:v>Rata-rata galat relatif</x:v>
      </x:c>
      <x:c r="B10" s="522" t="str">
        <x:f>IF(COUNT('Pengujian Ketiga'!R5:R19)=0,"",AVERAGE('Pengujian Ketiga'!R5:R19))</x:f>
      </x:c>
      <x:c r="C10" s="462" t="str">
        <x:v>%</x:v>
      </x:c>
      <x:c r="D10" s="463" t="str">
        <x:v>MAE dalam proporsi tinggi aktual</x:v>
      </x:c>
    </x:row>
    <x:row r="11">
      <x:c r="A11" s="460" t="str">
        <x:v>Galat absolut maksimum</x:v>
      </x:c>
      <x:c r="B11" s="521" t="str">
        <x:f>IF(COUNT('Pengujian Ketiga'!Q5:Q19)=0,"",MAX('Pengujian Ketiga'!Q5:Q19))</x:f>
      </x:c>
      <x:c r="C11" s="462" t="str">
        <x:v>cm</x:v>
      </x:c>
      <x:c r="D11" s="463" t="str">
        <x:v>Kasus terburuk</x:v>
      </x:c>
    </x:row>
    <x:row r="12">
      <x:c r="A12" s="465" t="str">
        <x:v>Rata-rata waktu proses</x:v>
      </x:c>
      <x:c r="B12" s="523" t="str">
        <x:f>IF(COUNT('Pengujian Ketiga'!S5:S19)=0,"",AVERAGE('Pengujian Ketiga'!S5:S19))</x:f>
      </x:c>
      <x:c r="C12" s="467" t="str">
        <x:v>detik</x:v>
      </x:c>
      <x:c r="D12" s="468" t="str">
        <x:v>Kecepatan pemrosesan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8" hidden="0" customWidth="1"/>
    <x:col min="3" max="3" width="38" hidden="0" customWidth="1"/>
    <x:col min="4" max="4" width="44" hidden="0" customWidth="1"/>
  </x:cols>
  <x:sheetData>
    <x:row r="1" ht="28" customHeight="1">
      <x:c r="A1" s="410" t="str">
        <x:v>PETUNJUK PENGUJIAN KETIGA DAN DATA YANG MASIH KURANG</x:v>
      </x:c>
      <x:c r="B1" s="411" t="str">
        <x:v>PETUNJUK PENGUJIAN KETIGA DAN DATA YANG MASIH KURANG</x:v>
      </x:c>
      <x:c r="C1" s="411" t="str">
        <x:v>PETUNJUK PENGUJIAN KETIGA DAN DATA YANG MASIH KURANG</x:v>
      </x:c>
      <x:c r="D1" s="412" t="str">
        <x:v>PETUNJUK PENGUJIAN KETIGA DAN DATA YANG MASIH KURANG</x:v>
      </x:c>
    </x:row>
    <x:row r="3" ht="42" customHeight="1">
      <x:c r="A3" s="424" t="str">
        <x:v>Langkah</x:v>
      </x:c>
      <x:c r="B3" s="425" t="str">
        <x:v>Yang dilakukan</x:v>
      </x:c>
      <x:c r="C3" s="425" t="str">
        <x:v>Yang dicatat</x:v>
      </x:c>
      <x:c r="D3" s="426" t="str">
        <x:v>Tujuan</x:v>
      </x:c>
    </x:row>
    <x:row r="4">
      <x:c r="A4" s="530" t="n">
        <x:v>1</x:v>
      </x:c>
      <x:c r="B4" s="458" t="str">
        <x:v>Gunakan 15 citra yang sama dengan pengujian kedua dan tetapkan PX_PER_CELL = 120.</x:v>
      </x:c>
      <x:c r="C4" s="458" t="str">
        <x:v>Kode citra dan PX_PER_CELL</x:v>
      </x:c>
      <x:c r="D4" s="459" t="str">
        <x:v>Perbandingan tetap adil</x:v>
      </x:c>
    </x:row>
    <x:row r="5">
      <x:c r="A5" s="531" t="n">
        <x:v>2</x:v>
      </x:c>
      <x:c r="B5" s="462" t="str">
        <x:v>Pastikan subjek tegak serta kepala dan kaki tidak terpotong.</x:v>
      </x:c>
      <x:c r="C5" s="462" t="str">
        <x:v>Pose, kepala terlihat, kaki terlihat</x:v>
      </x:c>
      <x:c r="D5" s="463" t="str">
        <x:v>Mencegah galat akibat input tidak valid</x:v>
      </x:c>
    </x:row>
    <x:row r="6">
      <x:c r="A6" s="531" t="n">
        <x:v>3</x:v>
      </x:c>
      <x:c r="B6" s="462" t="str">
        <x:v>Ambil nilai Y puncak kepala dan kaki terbawah dari aplikasi.</x:v>
      </x:c>
      <x:c r="C6" s="462" t="str">
        <x:v>headTop.y dan footBottom.y aplikasi</x:v>
      </x:c>
      <x:c r="D6" s="463" t="str">
        <x:v>Menguji keluaran algoritma</x:v>
      </x:c>
    </x:row>
    <x:row r="7">
      <x:c r="A7" s="531" t="n">
        <x:v>4</x:v>
      </x:c>
      <x:c r="B7" s="462" t="str">
        <x:v>Tandai titik yang sama secara manual pada citra hasil warp.</x:v>
      </x:c>
      <x:c r="C7" s="462" t="str">
        <x:v>headTop.y dan footBottom.y manual</x:v>
      </x:c>
      <x:c r="D7" s="463" t="str">
        <x:v>Menjadi referensi titik</x:v>
      </x:c>
    </x:row>
    <x:row r="8">
      <x:c r="A8" s="531" t="n">
        <x:v>5</x:v>
      </x:c>
      <x:c r="B8" s="462" t="str">
        <x:v>Masukkan tinggi aktual dan hasil aplikasi.</x:v>
      </x:c>
      <x:c r="C8" s="462" t="str">
        <x:v>Tinggi aktual, hasil aplikasi</x:v>
      </x:c>
      <x:c r="D8" s="463" t="str">
        <x:v>Menghitung galat absolut/relatif</x:v>
      </x:c>
    </x:row>
    <x:row r="9">
      <x:c r="A9" s="532" t="n">
        <x:v>6</x:v>
      </x:c>
      <x:c r="B9" s="467" t="str">
        <x:v>Ulangi setiap citra minimal 3 kali bila pengambilan dilakukan ulang.</x:v>
      </x:c>
      <x:c r="C9" s="467" t="str">
        <x:v>Hasil tiap ulangan dan waktu proses</x:v>
      </x:c>
      <x:c r="D9" s="468" t="str">
        <x:v>Mengukur konsistensi</x:v>
      </x:c>
    </x:row>
    <x:row r="10">
      <x:c r="A10" s="533"/>
      <x:c r="B10" s="533"/>
      <x:c r="C10" s="533"/>
      <x:c r="D10" s="533"/>
    </x:row>
    <x:row r="11" ht="42" customHeight="1">
      <x:c r="A11" s="424" t="str">
        <x:v>No.</x:v>
      </x:c>
      <x:c r="B11" s="425" t="str">
        <x:v>Kekurangan pada tabel pengujian kedua</x:v>
      </x:c>
      <x:c r="C11" s="425" t="str">
        <x:v>Dampak</x:v>
      </x:c>
      <x:c r="D11" s="426" t="str">
        <x:v>Yang harus ditambahkan</x:v>
      </x:c>
    </x:row>
    <x:row r="12">
      <x:c r="A12" s="534" t="n">
        <x:v>1</x:v>
      </x:c>
      <x:c r="B12" s="458" t="str">
        <x:v>Jumlah marker terdeteksi masih kosong.</x:v>
      </x:c>
      <x:c r="C12" s="458" t="str">
        <x:v>Kualitas deteksi board tidak dapat dinilai.</x:v>
      </x:c>
      <x:c r="D12" s="459" t="str">
        <x:v>Isi jumlah marker untuk setiap citra.</x:v>
      </x:c>
    </x:row>
    <x:row r="13">
      <x:c r="A13" s="535" t="n">
        <x:v>2</x:v>
      </x:c>
      <x:c r="B13" s="462" t="str">
        <x:v>Status board lurus dan tubuh/board terpotong belum lengkap pada PX 120.</x:v>
      </x:c>
      <x:c r="C13" s="462" t="str">
        <x:v>Penyebab galat tinggi sulit dilacak.</x:v>
      </x:c>
      <x:c r="D13" s="463" t="str">
        <x:v>Isi Ya/Tidak untuk semua baris.</x:v>
      </x:c>
    </x:row>
    <x:row r="14">
      <x:c r="A14" s="535" t="n">
        <x:v>3</x:v>
      </x:c>
      <x:c r="B14" s="462" t="str">
        <x:v>Belum ada koordinat mentah kepala dan kaki.</x:v>
      </x:c>
      <x:c r="C14" s="462" t="str">
        <x:v>Tidak diketahui apakah galat berasal dari landmark.</x:v>
      </x:c>
      <x:c r="D14" s="463" t="str">
        <x:v>Pengujian ketiga menambahkan koordinat aplikasi dan manual.</x:v>
      </x:c>
    </x:row>
    <x:row r="15">
      <x:c r="A15" s="535" t="n">
        <x:v>4</x:v>
      </x:c>
      <x:c r="B15" s="462" t="str">
        <x:v>Belum ada galat relatif (%).</x:v>
      </x:c>
      <x:c r="C15" s="462" t="str">
        <x:v>Sulit membandingkan galat antar tinggi subjek.</x:v>
      </x:c>
      <x:c r="D15" s="463" t="str">
        <x:v>Hitung galat absolut dibagi tinggi aktual.</x:v>
      </x:c>
    </x:row>
    <x:row r="16">
      <x:c r="A16" s="535" t="n">
        <x:v>5</x:v>
      </x:c>
      <x:c r="B16" s="462" t="str">
        <x:v>Belum ada waktu proses.</x:v>
      </x:c>
      <x:c r="C16" s="462" t="str">
        <x:v>Performa aplikasi tidak terukur.</x:v>
      </x:c>
      <x:c r="D16" s="463" t="str">
        <x:v>Catat waktu proses per citra.</x:v>
      </x:c>
    </x:row>
    <x:row r="17">
      <x:c r="A17" s="535" t="n">
        <x:v>6</x:v>
      </x:c>
      <x:c r="B17" s="462" t="str">
        <x:v>Jarak kamera-board, jarak subjek-board, pencahayaan, dan sudut kamera belum dicatat.</x:v>
      </x:c>
      <x:c r="C17" s="462" t="str">
        <x:v>Pengujian sulit direplikasi.</x:v>
      </x:c>
      <x:c r="D17" s="463" t="str">
        <x:v>Tambahkan kondisi pengambilan pada catatan/protokol.</x:v>
      </x:c>
    </x:row>
    <x:row r="18">
      <x:c r="A18" s="535" t="n">
        <x:v>7</x:v>
      </x:c>
      <x:c r="B18" s="462" t="str">
        <x:v>Belum ada pengulangan dan simpangan baku.</x:v>
      </x:c>
      <x:c r="C18" s="462" t="str">
        <x:v>Konsistensi hasil belum diketahui.</x:v>
      </x:c>
      <x:c r="D18" s="463" t="str">
        <x:v>Lakukan minimal 3 ulangan per kondisi.</x:v>
      </x:c>
    </x:row>
    <x:row r="19">
      <x:c r="A19" s="536" t="n">
        <x:v>8</x:v>
      </x:c>
      <x:c r="B19" s="467" t="str">
        <x:v>Istilah 'Error absolut' sebaiknya menggunakan 'Galat absolut'.</x:v>
      </x:c>
      <x:c r="C19" s="467" t="str">
        <x:v>Istilah laporan kurang baku.</x:v>
      </x:c>
      <x:c r="D19" s="468" t="str">
        <x:v>Gunakan istilah galat absolut dan galat relatif.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8" hidden="0" customWidth="1"/>
    <x:col min="4" max="4" width="32" hidden="0" customWidth="1"/>
  </x:cols>
  <x:sheetData>
    <x:row r="1" ht="28" customHeight="1">
      <x:c r="A1" s="410" t="str">
        <x:v>DEFINISI DATA DAN CARA PENGISIAN</x:v>
      </x:c>
      <x:c r="B1" s="411" t="str">
        <x:v>DEFINISI DATA DAN CARA PENGISIAN</x:v>
      </x:c>
      <x:c r="C1" s="411" t="str">
        <x:v>DEFINISI DATA DAN CARA PENGISIAN</x:v>
      </x:c>
      <x:c r="D1" s="412" t="str">
        <x:v>DEFINISI DATA DAN CARA PENGISIAN</x:v>
      </x:c>
    </x:row>
    <x:row r="3" ht="42" customHeight="1">
      <x:c r="A3" s="424" t="str">
        <x:v>Kolom</x:v>
      </x:c>
      <x:c r="B3" s="425" t="str">
        <x:v>Sumber nilai</x:v>
      </x:c>
      <x:c r="C3" s="425" t="str">
        <x:v>Cara memperoleh</x:v>
      </x:c>
      <x:c r="D3" s="426" t="str">
        <x:v>Wajib diuji?</x:v>
      </x:c>
    </x:row>
    <x:row r="4">
      <x:c r="A4" s="469" t="str">
        <x:v>Pose/kepala/kaki terlihat</x:v>
      </x:c>
      <x:c r="B4" s="458" t="str">
        <x:v>Pemeriksaan visual</x:v>
      </x:c>
      <x:c r="C4" s="458" t="str">
        <x:v>Lihat citra hasil warp; isi Ya/Tidak atau Tegak/Tidak Tegak</x:v>
      </x:c>
      <x:c r="D4" s="459" t="str">
        <x:v>Ya, sebagai syarat validitas input</x:v>
      </x:c>
    </x:row>
    <x:row r="5">
      <x:c r="A5" s="470" t="str">
        <x:v>headTop.y aplikasi</x:v>
      </x:c>
      <x:c r="B5" s="462" t="str">
        <x:v>Log/debug MeasurementActivity</x:v>
      </x:c>
      <x:c r="C5" s="462" t="str">
        <x:v>Salin angka headTop.y yang dicetak aplikasi</x:v>
      </x:c>
      <x:c r="D5" s="463" t="str">
        <x:v>Ya</x:v>
      </x:c>
    </x:row>
    <x:row r="6">
      <x:c r="A6" s="470" t="str">
        <x:v>headTop.y manual</x:v>
      </x:c>
      <x:c r="B6" s="462" t="str">
        <x:v>Anotasi peneliti</x:v>
      </x:c>
      <x:c r="C6" s="462" t="str">
        <x:v>Klik/tandai piksel paling atas kepala pada citra warp yang sama</x:v>
      </x:c>
      <x:c r="D6" s="463" t="str">
        <x:v>Ya, menjadi ground truth</x:v>
      </x:c>
    </x:row>
    <x:row r="7">
      <x:c r="A7" s="470" t="str">
        <x:v>Galat titik kepala</x:v>
      </x:c>
      <x:c r="B7" s="462" t="str">
        <x:v>Rumus Excel</x:v>
      </x:c>
      <x:c r="C7" s="462" t="str">
        <x:v>ABS(headTop aplikasi - headTop manual)</x:v>
      </x:c>
      <x:c r="D7" s="463" t="str">
        <x:v>Hasil otomatis</x:v>
      </x:c>
    </x:row>
    <x:row r="8">
      <x:c r="A8" s="470" t="str">
        <x:v>footBottom.y aplikasi</x:v>
      </x:c>
      <x:c r="B8" s="462" t="str">
        <x:v>Log/debug MeasurementActivity</x:v>
      </x:c>
      <x:c r="C8" s="462" t="str">
        <x:v>Salin angka footBottom.y yang dicetak aplikasi</x:v>
      </x:c>
      <x:c r="D8" s="463" t="str">
        <x:v>Ya</x:v>
      </x:c>
    </x:row>
    <x:row r="9">
      <x:c r="A9" s="470" t="str">
        <x:v>footBottom.y manual</x:v>
      </x:c>
      <x:c r="B9" s="462" t="str">
        <x:v>Anotasi peneliti</x:v>
      </x:c>
      <x:c r="C9" s="462" t="str">
        <x:v>Klik/tandai piksel paling bawah dari tumit/ujung kaki pada citra warp</x:v>
      </x:c>
      <x:c r="D9" s="463" t="str">
        <x:v>Ya, menjadi ground truth</x:v>
      </x:c>
    </x:row>
    <x:row r="10">
      <x:c r="A10" s="470" t="str">
        <x:v>Galat titik kaki</x:v>
      </x:c>
      <x:c r="B10" s="462" t="str">
        <x:v>Rumus Excel</x:v>
      </x:c>
      <x:c r="C10" s="462" t="str">
        <x:v>ABS(footBottom aplikasi - footBottom manual)</x:v>
      </x:c>
      <x:c r="D10" s="463" t="str">
        <x:v>Hasil otomatis</x:v>
      </x:c>
    </x:row>
    <x:row r="11">
      <x:c r="A11" s="470" t="str">
        <x:v>Tinggi vertikal aplikasi</x:v>
      </x:c>
      <x:c r="B11" s="462" t="str">
        <x:v>Rumus Excel</x:v>
      </x:c>
      <x:c r="C11" s="462" t="str">
        <x:v>ABS(footBottom.y aplikasi - headTop.y aplikasi)</x:v>
      </x:c>
      <x:c r="D11" s="463" t="str">
        <x:v>Hasil otomatis</x:v>
      </x:c>
    </x:row>
    <x:row r="12">
      <x:c r="A12" s="470" t="str">
        <x:v>cmPerPixel</x:v>
      </x:c>
      <x:c r="B12" s="462" t="str">
        <x:v>Pengujian kedua PX 120</x:v>
      </x:c>
      <x:c r="C12" s="462" t="str">
        <x:v>200 cm / 2322 px = 0,08613 cm/px</x:v>
      </x:c>
      <x:c r="D12" s="463" t="str">
        <x:v>Tidak diubah pada uji ketiga</x:v>
      </x:c>
    </x:row>
    <x:row r="13">
      <x:c r="A13" s="470" t="str">
        <x:v>Faktor kedalaman</x:v>
      </x:c>
      <x:c r="B13" s="462" t="str">
        <x:v>Konstanta kode</x:v>
      </x:c>
      <x:c r="C13" s="462" t="str">
        <x:v>(350 - 50) / 350 = 0,85714</x:v>
      </x:c>
      <x:c r="D13" s="463" t="str">
        <x:v>Dicatat tetap, bukan dicari ulang di uji ini</x:v>
      </x:c>
    </x:row>
    <x:row r="14">
      <x:c r="A14" s="470" t="str">
        <x:v>Faktor kalibrasi</x:v>
      </x:c>
      <x:c r="B14" s="462" t="str">
        <x:v>Konstanta kode</x:v>
      </x:c>
      <x:c r="C14" s="462" t="str">
        <x:v>1,025</x:v>
      </x:c>
      <x:c r="D14" s="463" t="str">
        <x:v>Dicatat tetap; evaluasi terpisah bila metodologi meminta</x:v>
      </x:c>
    </x:row>
    <x:row r="15">
      <x:c r="A15" s="470" t="str">
        <x:v>Hasil aplikasi</x:v>
      </x:c>
      <x:c r="B15" s="462" t="str">
        <x:v>Rumus yang sama dengan kode</x:v>
      </x:c>
      <x:c r="C15" s="462" t="str">
        <x:v>tinggi piksel × cmPerPixel × faktor kedalaman × faktor kalibrasi</x:v>
      </x:c>
      <x:c r="D15" s="463" t="str">
        <x:v>Dibandingkan dengan tinggi aktual</x:v>
      </x:c>
    </x:row>
    <x:row r="16">
      <x:c r="A16" s="470" t="str">
        <x:v>Galat absolut</x:v>
      </x:c>
      <x:c r="B16" s="462" t="str">
        <x:v>Rumus Excel</x:v>
      </x:c>
      <x:c r="C16" s="462" t="str">
        <x:v>ABS(hasil aplikasi - tinggi aktual)</x:v>
      </x:c>
      <x:c r="D16" s="463" t="str">
        <x:v>Hasil utama</x:v>
      </x:c>
    </x:row>
    <x:row r="17">
      <x:c r="A17" s="471" t="str">
        <x:v>Galat relatif</x:v>
      </x:c>
      <x:c r="B17" s="467" t="str">
        <x:v>Rumus Excel</x:v>
      </x:c>
      <x:c r="C17" s="467" t="str">
        <x:v>galat absolut / tinggi aktual × 100%</x:v>
      </x:c>
      <x:c r="D17" s="468" t="str">
        <x:v>Hasil utama</x:v>
      </x:c>
    </x:row>
  </x:sheetData>
  <x:mergeCells>
    <x:mergeCell ref="A1:D1"/>
  </x:mergeCells>
  <x:pageMargins left="0.7" right="0.7" top="0.75" bottom="0.75" header="0.3" footer="0.3"/>
</x:worksheet>
</file>