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TA Skripsi\aplikasi\HeightMeasurement\outputs\019f4b21-afba-7351-9169-cd99895d5409\"/>
    </mc:Choice>
  </mc:AlternateContent>
  <xr:revisionPtr revIDLastSave="0" documentId="11_234F6C1FD5A7F1F921EC86A2370404112FE416F3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Referensi Manual" sheetId="1" r:id="rId1"/>
    <sheet name="Data 135 Pengamatan" sheetId="2" r:id="rId2"/>
    <sheet name="Ringkasan Kombinasi" sheetId="3" r:id="rId3"/>
    <sheet name="Petunjuk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39" i="2" l="1"/>
  <c r="H139" i="2" s="1"/>
  <c r="G138" i="2"/>
  <c r="H138" i="2" s="1"/>
  <c r="G137" i="2"/>
  <c r="H137" i="2" s="1"/>
  <c r="G136" i="2"/>
  <c r="H136" i="2" s="1"/>
  <c r="G135" i="2"/>
  <c r="H135" i="2" s="1"/>
  <c r="G134" i="2"/>
  <c r="H134" i="2" s="1"/>
  <c r="G133" i="2"/>
  <c r="H133" i="2" s="1"/>
  <c r="G132" i="2"/>
  <c r="H132" i="2" s="1"/>
  <c r="G131" i="2"/>
  <c r="H131" i="2" s="1"/>
  <c r="G130" i="2"/>
  <c r="H130" i="2" s="1"/>
  <c r="G129" i="2"/>
  <c r="H129" i="2" s="1"/>
  <c r="G128" i="2"/>
  <c r="H128" i="2" s="1"/>
  <c r="G127" i="2"/>
  <c r="H127" i="2" s="1"/>
  <c r="G126" i="2"/>
  <c r="H126" i="2" s="1"/>
  <c r="G125" i="2"/>
  <c r="H125" i="2" s="1"/>
  <c r="G124" i="2"/>
  <c r="H124" i="2" s="1"/>
  <c r="G123" i="2"/>
  <c r="H123" i="2" s="1"/>
  <c r="G122" i="2"/>
  <c r="H122" i="2" s="1"/>
  <c r="G121" i="2"/>
  <c r="H121" i="2" s="1"/>
  <c r="G120" i="2"/>
  <c r="H120" i="2" s="1"/>
  <c r="G119" i="2"/>
  <c r="H119" i="2" s="1"/>
  <c r="G118" i="2"/>
  <c r="H118" i="2" s="1"/>
  <c r="G117" i="2"/>
  <c r="H117" i="2" s="1"/>
  <c r="G116" i="2"/>
  <c r="H116" i="2" s="1"/>
  <c r="G115" i="2"/>
  <c r="H115" i="2" s="1"/>
  <c r="G114" i="2"/>
  <c r="H114" i="2" s="1"/>
  <c r="G113" i="2"/>
  <c r="H113" i="2" s="1"/>
  <c r="G112" i="2"/>
  <c r="H112" i="2" s="1"/>
  <c r="G111" i="2"/>
  <c r="H111" i="2" s="1"/>
  <c r="G110" i="2"/>
  <c r="H110" i="2" s="1"/>
  <c r="G109" i="2"/>
  <c r="H109" i="2" s="1"/>
  <c r="G108" i="2"/>
  <c r="H108" i="2" s="1"/>
  <c r="G107" i="2"/>
  <c r="H107" i="2" s="1"/>
  <c r="G106" i="2"/>
  <c r="H106" i="2" s="1"/>
  <c r="G105" i="2"/>
  <c r="H105" i="2" s="1"/>
  <c r="G104" i="2"/>
  <c r="H104" i="2" s="1"/>
  <c r="G103" i="2"/>
  <c r="H103" i="2" s="1"/>
  <c r="G102" i="2"/>
  <c r="H102" i="2" s="1"/>
  <c r="G101" i="2"/>
  <c r="H101" i="2" s="1"/>
  <c r="G100" i="2"/>
  <c r="H100" i="2" s="1"/>
  <c r="G99" i="2"/>
  <c r="H99" i="2" s="1"/>
  <c r="G98" i="2"/>
  <c r="H98" i="2" s="1"/>
  <c r="G97" i="2"/>
  <c r="H97" i="2" s="1"/>
  <c r="G96" i="2"/>
  <c r="H96" i="2" s="1"/>
  <c r="G95" i="2"/>
  <c r="H95" i="2" s="1"/>
  <c r="G94" i="2"/>
  <c r="H94" i="2" s="1"/>
  <c r="G93" i="2"/>
  <c r="H93" i="2" s="1"/>
  <c r="G92" i="2"/>
  <c r="H92" i="2" s="1"/>
  <c r="G91" i="2"/>
  <c r="H91" i="2" s="1"/>
  <c r="G90" i="2"/>
  <c r="H90" i="2" s="1"/>
  <c r="G89" i="2"/>
  <c r="H89" i="2" s="1"/>
  <c r="G88" i="2"/>
  <c r="H88" i="2" s="1"/>
  <c r="G87" i="2"/>
  <c r="H87" i="2" s="1"/>
  <c r="G86" i="2"/>
  <c r="H86" i="2" s="1"/>
  <c r="G85" i="2"/>
  <c r="H85" i="2" s="1"/>
  <c r="G84" i="2"/>
  <c r="H84" i="2" s="1"/>
  <c r="G83" i="2"/>
  <c r="H83" i="2" s="1"/>
  <c r="G82" i="2"/>
  <c r="H82" i="2" s="1"/>
  <c r="G81" i="2"/>
  <c r="H81" i="2" s="1"/>
  <c r="G80" i="2"/>
  <c r="H80" i="2" s="1"/>
  <c r="E9" i="3" s="1"/>
  <c r="G79" i="2"/>
  <c r="H79" i="2" s="1"/>
  <c r="G78" i="2"/>
  <c r="H78" i="2" s="1"/>
  <c r="G77" i="2"/>
  <c r="H77" i="2" s="1"/>
  <c r="G76" i="2"/>
  <c r="H76" i="2" s="1"/>
  <c r="G75" i="2"/>
  <c r="H75" i="2" s="1"/>
  <c r="G74" i="2"/>
  <c r="H74" i="2" s="1"/>
  <c r="G73" i="2"/>
  <c r="H73" i="2" s="1"/>
  <c r="G72" i="2"/>
  <c r="H72" i="2" s="1"/>
  <c r="G71" i="2"/>
  <c r="H71" i="2" s="1"/>
  <c r="G70" i="2"/>
  <c r="H70" i="2" s="1"/>
  <c r="G69" i="2"/>
  <c r="H69" i="2" s="1"/>
  <c r="G68" i="2"/>
  <c r="H68" i="2" s="1"/>
  <c r="G67" i="2"/>
  <c r="H67" i="2" s="1"/>
  <c r="G66" i="2"/>
  <c r="H66" i="2" s="1"/>
  <c r="G65" i="2"/>
  <c r="H65" i="2" s="1"/>
  <c r="G64" i="2"/>
  <c r="H64" i="2" s="1"/>
  <c r="G63" i="2"/>
  <c r="H63" i="2" s="1"/>
  <c r="G62" i="2"/>
  <c r="H62" i="2" s="1"/>
  <c r="G61" i="2"/>
  <c r="H61" i="2" s="1"/>
  <c r="G60" i="2"/>
  <c r="H60" i="2" s="1"/>
  <c r="G59" i="2"/>
  <c r="H59" i="2" s="1"/>
  <c r="G58" i="2"/>
  <c r="H58" i="2" s="1"/>
  <c r="G57" i="2"/>
  <c r="H57" i="2" s="1"/>
  <c r="G56" i="2"/>
  <c r="H56" i="2" s="1"/>
  <c r="G55" i="2"/>
  <c r="H55" i="2" s="1"/>
  <c r="G54" i="2"/>
  <c r="H54" i="2" s="1"/>
  <c r="G53" i="2"/>
  <c r="H53" i="2" s="1"/>
  <c r="G52" i="2"/>
  <c r="H52" i="2" s="1"/>
  <c r="G51" i="2"/>
  <c r="H51" i="2" s="1"/>
  <c r="G50" i="2"/>
  <c r="H50" i="2" s="1"/>
  <c r="G49" i="2"/>
  <c r="H49" i="2" s="1"/>
  <c r="G48" i="2"/>
  <c r="H48" i="2" s="1"/>
  <c r="G47" i="2"/>
  <c r="H47" i="2" s="1"/>
  <c r="G46" i="2"/>
  <c r="H46" i="2" s="1"/>
  <c r="G45" i="2"/>
  <c r="H45" i="2" s="1"/>
  <c r="G44" i="2"/>
  <c r="H44" i="2" s="1"/>
  <c r="G43" i="2"/>
  <c r="H43" i="2" s="1"/>
  <c r="G42" i="2"/>
  <c r="H42" i="2" s="1"/>
  <c r="G41" i="2"/>
  <c r="H41" i="2" s="1"/>
  <c r="G40" i="2"/>
  <c r="H40" i="2" s="1"/>
  <c r="G39" i="2"/>
  <c r="H39" i="2" s="1"/>
  <c r="G38" i="2"/>
  <c r="H38" i="2" s="1"/>
  <c r="G37" i="2"/>
  <c r="H37" i="2" s="1"/>
  <c r="G36" i="2"/>
  <c r="H36" i="2" s="1"/>
  <c r="G35" i="2"/>
  <c r="H35" i="2" s="1"/>
  <c r="G34" i="2"/>
  <c r="H34" i="2" s="1"/>
  <c r="G33" i="2"/>
  <c r="H33" i="2" s="1"/>
  <c r="G32" i="2"/>
  <c r="H32" i="2" s="1"/>
  <c r="G31" i="2"/>
  <c r="H31" i="2" s="1"/>
  <c r="G30" i="2"/>
  <c r="H30" i="2" s="1"/>
  <c r="G29" i="2"/>
  <c r="H29" i="2" s="1"/>
  <c r="G28" i="2"/>
  <c r="H28" i="2" s="1"/>
  <c r="G27" i="2"/>
  <c r="H27" i="2" s="1"/>
  <c r="G26" i="2"/>
  <c r="H26" i="2" s="1"/>
  <c r="G25" i="2"/>
  <c r="H25" i="2" s="1"/>
  <c r="G24" i="2"/>
  <c r="H24" i="2" s="1"/>
  <c r="G23" i="2"/>
  <c r="H23" i="2" s="1"/>
  <c r="G22" i="2"/>
  <c r="H22" i="2" s="1"/>
  <c r="G21" i="2"/>
  <c r="H21" i="2" s="1"/>
  <c r="G20" i="2"/>
  <c r="H20" i="2" s="1"/>
  <c r="E5" i="3" s="1"/>
  <c r="G19" i="2"/>
  <c r="H19" i="2" s="1"/>
  <c r="G18" i="2"/>
  <c r="H18" i="2" s="1"/>
  <c r="G17" i="2"/>
  <c r="H17" i="2" s="1"/>
  <c r="G16" i="2"/>
  <c r="H16" i="2" s="1"/>
  <c r="G15" i="2"/>
  <c r="H15" i="2" s="1"/>
  <c r="G14" i="2"/>
  <c r="H14" i="2" s="1"/>
  <c r="G13" i="2"/>
  <c r="H13" i="2" s="1"/>
  <c r="G12" i="2"/>
  <c r="H12" i="2" s="1"/>
  <c r="G11" i="2"/>
  <c r="H11" i="2" s="1"/>
  <c r="G10" i="2"/>
  <c r="H10" i="2" s="1"/>
  <c r="G9" i="2"/>
  <c r="H9" i="2" s="1"/>
  <c r="G8" i="2"/>
  <c r="H8" i="2" s="1"/>
  <c r="G7" i="2"/>
  <c r="H7" i="2" s="1"/>
  <c r="G6" i="2"/>
  <c r="H6" i="2" s="1"/>
  <c r="G5" i="2"/>
  <c r="H5" i="2" s="1"/>
  <c r="G5" i="3" l="1"/>
  <c r="F5" i="3"/>
  <c r="A5" i="3"/>
  <c r="H5" i="3"/>
  <c r="E6" i="3"/>
  <c r="E10" i="3"/>
  <c r="E7" i="3"/>
  <c r="E11" i="3"/>
  <c r="H9" i="3"/>
  <c r="G9" i="3"/>
  <c r="F9" i="3"/>
  <c r="A9" i="3"/>
  <c r="E8" i="3"/>
  <c r="E12" i="3"/>
  <c r="E4" i="3"/>
  <c r="H11" i="3" l="1"/>
  <c r="G11" i="3"/>
  <c r="F11" i="3"/>
  <c r="A11" i="3"/>
  <c r="H7" i="3"/>
  <c r="G7" i="3"/>
  <c r="F7" i="3"/>
  <c r="A7" i="3"/>
  <c r="F10" i="3"/>
  <c r="A10" i="3"/>
  <c r="H10" i="3"/>
  <c r="G10" i="3"/>
  <c r="H6" i="3"/>
  <c r="G6" i="3"/>
  <c r="F6" i="3"/>
  <c r="A6" i="3"/>
  <c r="A8" i="3"/>
  <c r="H8" i="3"/>
  <c r="G8" i="3"/>
  <c r="F8" i="3"/>
  <c r="H4" i="3"/>
  <c r="G4" i="3"/>
  <c r="F4" i="3"/>
  <c r="A4" i="3"/>
  <c r="H12" i="3"/>
  <c r="G12" i="3"/>
  <c r="F12" i="3"/>
  <c r="A12" i="3"/>
</calcChain>
</file>

<file path=xl/sharedStrings.xml><?xml version="1.0" encoding="utf-8"?>
<sst xmlns="http://schemas.openxmlformats.org/spreadsheetml/2006/main" count="664" uniqueCount="78">
  <si>
    <t>REFERENSI MANUAL PUNCAK KEPALA</t>
  </si>
  <si>
    <t>Tandai satu kali puncak kepala pada citra warp PX 120. Nilai ini dipakai sebagai pembanding yang sama untuk seluruh 9 kombinasi.</t>
  </si>
  <si>
    <t>No.</t>
  </si>
  <si>
    <t>Kode citra</t>
  </si>
  <si>
    <t>Y puncak kepala manual (px)</t>
  </si>
  <si>
    <t>Cara anotasi</t>
  </si>
  <si>
    <t>Catatan</t>
  </si>
  <si>
    <t>C01</t>
  </si>
  <si>
    <t>Piksel paling atas kepala pada citra warp PX 120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</si>
  <si>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</si>
  <si>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</si>
  <si>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</si>
  <si>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</si>
  <si>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</si>
  <si>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</si>
  <si>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</si>
  <si>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</si>
  <si>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</si>
  <si>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</si>
  <si>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</si>
  <si>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</si>
  <si>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</si>
  <si>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</si>
  <si>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DATA PENGUJIAN 9 KOMBINASI KOEFISIEN KEPALA × 15 FOTO</t>
  </si>
  <si>
    <t>Isi kolom kuning dari screenshot Measurement. Kolom biru dihitung otomatis. Jangan menilai kombinasi dari tinggi akhir; gunakan galat headTop.y.</t>
  </si>
  <si>
    <t>Kombinasi</t>
  </si>
  <si>
    <t>eyeToShoulder</t>
  </si>
  <si>
    <t>earToEye</t>
  </si>
  <si>
    <t>headTop.y aplikasi (px)</t>
  </si>
  <si>
    <t>Y kepala manual (px)</t>
  </si>
  <si>
    <t>Galat kepala (px)</t>
  </si>
  <si>
    <t>Tinggi aplikasi (cm)</t>
  </si>
  <si>
    <t>Measurement tersedia</t>
  </si>
  <si>
    <t>Bukti tahap lengkap</t>
  </si>
  <si>
    <t>0,20 / 0,10</t>
  </si>
  <si>
    <t>Ya</t>
  </si>
  <si>
    <t>0,20 / 0,15</t>
  </si>
  <si>
    <t>Tidak</t>
  </si>
  <si>
    <t>Screenshot MediaPipe tidak tersimpan; Measurement tersedia sehingga galat kepala tetap dapat dihitung.</t>
  </si>
  <si>
    <t>0,20 / 0,20</t>
  </si>
  <si>
    <t>0,28 / 0,10</t>
  </si>
  <si>
    <t>Screenshot perspektif tidak tersimpan; Measurement tersedia sehingga galat kepala tetap dapat dihitung.</t>
  </si>
  <si>
    <t>0,28 / 0,15</t>
  </si>
  <si>
    <t>0,28 / 0,20</t>
  </si>
  <si>
    <t>0,35 / 0,10</t>
  </si>
  <si>
    <t>0,35 / 0,15</t>
  </si>
  <si>
    <t>0,35 / 0,20</t>
  </si>
  <si>
    <t>RINGKASAN DAN PEMILIHAN KOEFISIEN KEPALA</t>
  </si>
  <si>
    <t>Peringkat</t>
  </si>
  <si>
    <t>Data terisi</t>
  </si>
  <si>
    <t>Rata-rata galat (px)</t>
  </si>
  <si>
    <t>Galat maksimum (px)</t>
  </si>
  <si>
    <t>Keputusan</t>
  </si>
  <si>
    <t>Syarat keputusan: setiap kombinasi harus memiliki 15 nilai headTop.y aplikasi dan 15 referensi manual. Nilai dengan rata-rata galat terkecil dipilih.</t>
  </si>
  <si>
    <t>PETUNJUK PENGISIAN DAN RUMUS</t>
  </si>
  <si>
    <t>Langkah</t>
  </si>
  <si>
    <t>Yang dilakukan</t>
  </si>
  <si>
    <t>Rumus / sumber</t>
  </si>
  <si>
    <t>Isi Y kepala manual C01–C15 satu kali.</t>
  </si>
  <si>
    <t>Gunakan anotasi yang sama untuk 9 kombinasi.</t>
  </si>
  <si>
    <t>Buka screenshot Measurement tiap kombinasi dan foto.</t>
  </si>
  <si>
    <t>Salin angka headTop.y</t>
  </si>
  <si>
    <t>Total 135 nilai aplikasi.</t>
  </si>
  <si>
    <t>Isi tinggi aplikasi sebagai data pendukung.</t>
  </si>
  <si>
    <t>Angka Tinggi badan pada Measurement</t>
  </si>
  <si>
    <t>Bukan dasar memilih koefisien.</t>
  </si>
  <si>
    <t>Galat dihitung otomatis.</t>
  </si>
  <si>
    <t>ABS(Y aplikasi − Y manual)</t>
  </si>
  <si>
    <t>Satuan piksel.</t>
  </si>
  <si>
    <t>Periksa Data terisi pada Ringkasan.</t>
  </si>
  <si>
    <t>Harus 15 untuk setiap kombinasi</t>
  </si>
  <si>
    <t>Jangan memilih hasil dari sampel tidak lengkap.</t>
  </si>
  <si>
    <t>Pilih peringkat 1.</t>
  </si>
  <si>
    <t>Rata-rata galat piksel paling kecil</t>
  </si>
  <si>
    <t>Kunci koefisien sebelum uji titik kaki.</t>
  </si>
  <si>
    <t>Tiga bukti tahap antara tidak lengkap.</t>
  </si>
  <si>
    <t>C04/C13 0,20–0,15 dan C13 0,28–0,10</t>
  </si>
  <si>
    <t>Measurement tetap tersedia sehingga data utama valid.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</si>
</sst>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>
    <font>
      <sz val="11"/>
      <name val="Carlito"/>
    </font>
    <font>
      <b/>
      <sz val="16"/>
      <name val="Carlito"/>
    </font>
    <font>
      <i/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8">
    <fill>
      <patternFill patternType="none"/>
    </fill>
    <fill>
      <patternFill patternType="gray125"/>
    </fill>
    <fill>
      <patternFill patternType="solid">
        <fgColor rgb="FFC6E0B4"/>
      </patternFill>
    </fill>
    <fill>
      <patternFill patternType="solid">
        <fgColor rgb="FFE2F0D9"/>
      </patternFill>
    </fill>
    <fill>
      <patternFill patternType="solid">
        <fgColor rgb="FF548235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FCE4D6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0" xfId="0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5" borderId="5" xfId="0" applyFill="1" applyBorder="1" applyAlignment="1">
      <alignment vertical="center"/>
    </xf>
    <xf numFmtId="0" fontId="0" fillId="5" borderId="0" xfId="0" applyFill="1" applyAlignment="1">
      <alignment vertical="center"/>
    </xf>
    <xf numFmtId="0" fontId="0" fillId="5" borderId="10" xfId="0" applyFill="1" applyBorder="1" applyAlignment="1">
      <alignment vertical="center"/>
    </xf>
    <xf numFmtId="0" fontId="0" fillId="6" borderId="5" xfId="0" applyFill="1" applyBorder="1" applyAlignment="1">
      <alignment vertical="center"/>
    </xf>
    <xf numFmtId="0" fontId="0" fillId="6" borderId="0" xfId="0" applyFill="1" applyAlignment="1">
      <alignment vertical="center"/>
    </xf>
    <xf numFmtId="0" fontId="0" fillId="6" borderId="10" xfId="0" applyFill="1" applyBorder="1" applyAlignment="1">
      <alignment vertical="center"/>
    </xf>
    <xf numFmtId="0" fontId="0" fillId="6" borderId="5" xfId="0" applyFill="1" applyBorder="1" applyAlignment="1">
      <alignment vertical="center" wrapText="1"/>
    </xf>
    <xf numFmtId="0" fontId="0" fillId="5" borderId="6" xfId="0" applyFill="1" applyBorder="1" applyAlignment="1">
      <alignment vertical="center" wrapText="1"/>
    </xf>
    <xf numFmtId="0" fontId="0" fillId="6" borderId="0" xfId="0" applyFill="1" applyAlignment="1">
      <alignment vertical="center" wrapText="1"/>
    </xf>
    <xf numFmtId="0" fontId="0" fillId="5" borderId="8" xfId="0" applyFill="1" applyBorder="1" applyAlignment="1">
      <alignment vertical="center" wrapText="1"/>
    </xf>
    <xf numFmtId="0" fontId="0" fillId="6" borderId="10" xfId="0" applyFill="1" applyBorder="1" applyAlignment="1">
      <alignment vertical="center" wrapText="1"/>
    </xf>
    <xf numFmtId="0" fontId="0" fillId="5" borderId="11" xfId="0" applyFill="1" applyBorder="1" applyAlignment="1">
      <alignment vertical="center" wrapText="1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2" fontId="0" fillId="0" borderId="5" xfId="0" applyNumberFormat="1" applyBorder="1" applyAlignment="1">
      <alignment vertical="center"/>
    </xf>
    <xf numFmtId="2" fontId="0" fillId="0" borderId="0" xfId="0" applyNumberFormat="1" applyAlignment="1">
      <alignment vertical="center"/>
    </xf>
    <xf numFmtId="2" fontId="0" fillId="0" borderId="10" xfId="0" applyNumberFormat="1" applyBorder="1" applyAlignment="1">
      <alignment vertical="center"/>
    </xf>
    <xf numFmtId="164" fontId="0" fillId="5" borderId="5" xfId="0" applyNumberFormat="1" applyFill="1" applyBorder="1" applyAlignment="1">
      <alignment vertical="center"/>
    </xf>
    <xf numFmtId="164" fontId="0" fillId="6" borderId="5" xfId="0" applyNumberFormat="1" applyFill="1" applyBorder="1" applyAlignment="1">
      <alignment vertical="center"/>
    </xf>
    <xf numFmtId="164" fontId="0" fillId="5" borderId="0" xfId="0" applyNumberFormat="1" applyFill="1" applyAlignment="1">
      <alignment vertical="center"/>
    </xf>
    <xf numFmtId="164" fontId="0" fillId="6" borderId="0" xfId="0" applyNumberFormat="1" applyFill="1" applyAlignment="1">
      <alignment vertical="center"/>
    </xf>
    <xf numFmtId="164" fontId="0" fillId="5" borderId="10" xfId="0" applyNumberFormat="1" applyFill="1" applyBorder="1" applyAlignment="1">
      <alignment vertical="center"/>
    </xf>
    <xf numFmtId="164" fontId="0" fillId="6" borderId="10" xfId="0" applyNumberFormat="1" applyFill="1" applyBorder="1" applyAlignment="1">
      <alignment vertical="center"/>
    </xf>
    <xf numFmtId="2" fontId="0" fillId="6" borderId="5" xfId="0" applyNumberFormat="1" applyFill="1" applyBorder="1" applyAlignment="1">
      <alignment vertical="center"/>
    </xf>
    <xf numFmtId="2" fontId="0" fillId="6" borderId="0" xfId="0" applyNumberFormat="1" applyFill="1" applyAlignment="1">
      <alignment vertical="center"/>
    </xf>
    <xf numFmtId="2" fontId="0" fillId="6" borderId="10" xfId="0" applyNumberFormat="1" applyFill="1" applyBorder="1" applyAlignment="1">
      <alignment vertical="center"/>
    </xf>
    <xf numFmtId="0" fontId="0" fillId="6" borderId="6" xfId="0" applyFill="1" applyBorder="1" applyAlignment="1">
      <alignment vertical="center" wrapText="1"/>
    </xf>
    <xf numFmtId="0" fontId="0" fillId="6" borderId="8" xfId="0" applyFill="1" applyBorder="1" applyAlignment="1">
      <alignment vertical="center" wrapText="1"/>
    </xf>
    <xf numFmtId="0" fontId="0" fillId="6" borderId="11" xfId="0" applyFill="1" applyBorder="1" applyAlignment="1">
      <alignment vertical="center" wrapText="1"/>
    </xf>
    <xf numFmtId="0" fontId="0" fillId="6" borderId="4" xfId="0" applyFill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6" borderId="7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6" borderId="9" xfId="0" applyFill="1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0" xfId="0" applyFont="1" applyFill="1" applyAlignment="1">
      <alignment wrapText="1"/>
    </xf>
    <xf numFmtId="0" fontId="4" fillId="7" borderId="1" xfId="0" applyFont="1" applyFill="1" applyBorder="1" applyAlignment="1">
      <alignment wrapText="1"/>
    </xf>
    <xf numFmtId="0" fontId="4" fillId="7" borderId="2" xfId="0" applyFont="1" applyFill="1" applyBorder="1" applyAlignment="1">
      <alignment wrapText="1"/>
    </xf>
    <xf numFmtId="0" fontId="4" fillId="7" borderId="3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workbookViewId="0">
      <selection sqref="A1:E1"/>
    </sheetView>
  </sheetViews>
  <sheetFormatPr defaultRowHeight="14.25"/>
  <cols>
    <col min="1" max="1" width="7" customWidth="1"/>
    <col min="2" max="2" width="13" customWidth="1"/>
    <col min="3" max="3" width="23" customWidth="1"/>
    <col min="4" max="4" width="48" customWidth="1"/>
    <col min="5" max="5" width="32" customWidth="1"/>
  </cols>
  <sheetData>
    <row r="1" spans="1:5" ht="27.95" customHeight="1">
      <c r="A1" s="49" t="s">
        <v>0</v>
      </c>
      <c r="B1" s="50" t="s">
        <v>0</v>
      </c>
      <c r="C1" s="50" t="s">
        <v>0</v>
      </c>
      <c r="D1" s="50" t="s">
        <v>0</v>
      </c>
      <c r="E1" s="51" t="s">
        <v>0</v>
      </c>
    </row>
    <row r="2" spans="1:5">
      <c r="A2" s="52" t="s">
        <v>1</v>
      </c>
      <c r="B2" s="52"/>
      <c r="C2" s="52"/>
      <c r="D2" s="52"/>
      <c r="E2" s="52"/>
    </row>
    <row r="4" spans="1:5" ht="42" customHeight="1">
      <c r="A4" s="1" t="s">
        <v>2</v>
      </c>
      <c r="B4" s="2" t="s">
        <v>3</v>
      </c>
      <c r="C4" s="2" t="s">
        <v>4</v>
      </c>
      <c r="D4" s="2" t="s">
        <v>5</v>
      </c>
      <c r="E4" s="3" t="s">
        <v>6</v>
      </c>
    </row>
    <row r="5" spans="1:5">
      <c r="A5" s="4">
        <v>1</v>
      </c>
      <c r="B5" s="5" t="s">
        <v>7</v>
      </c>
      <c r="C5" s="10"/>
      <c r="D5" s="16" t="s">
        <v>8</v>
      </c>
      <c r="E5" s="17"/>
    </row>
    <row r="6" spans="1:5">
      <c r="A6" s="6">
        <v>2</v>
      </c>
      <c r="B6" s="7" t="s">
        <v>9</v>
      </c>
      <c r="C6" s="11"/>
      <c r="D6" s="18" t="s">
        <v>8</v>
      </c>
      <c r="E6" s="19"/>
    </row>
    <row r="7" spans="1:5">
      <c r="A7" s="6">
        <v>3</v>
      </c>
      <c r="B7" s="7" t="s">
        <v>10</v>
      </c>
      <c r="C7" s="11"/>
      <c r="D7" s="18" t="s">
        <v>8</v>
      </c>
      <c r="E7" s="19"/>
    </row>
    <row r="8" spans="1:5">
      <c r="A8" s="6">
        <v>4</v>
      </c>
      <c r="B8" s="7" t="s">
        <v>11</v>
      </c>
      <c r="C8" s="11"/>
      <c r="D8" s="18" t="s">
        <v>8</v>
      </c>
      <c r="E8" s="19"/>
    </row>
    <row r="9" spans="1:5">
      <c r="A9" s="6">
        <v>5</v>
      </c>
      <c r="B9" s="7" t="s">
        <v>12</v>
      </c>
      <c r="C9" s="11"/>
      <c r="D9" s="18" t="s">
        <v>8</v>
      </c>
      <c r="E9" s="19"/>
    </row>
    <row r="10" spans="1:5">
      <c r="A10" s="6">
        <v>6</v>
      </c>
      <c r="B10" s="7" t="s">
        <v>13</v>
      </c>
      <c r="C10" s="11"/>
      <c r="D10" s="18" t="s">
        <v>8</v>
      </c>
      <c r="E10" s="19"/>
    </row>
    <row r="11" spans="1:5">
      <c r="A11" s="6">
        <v>7</v>
      </c>
      <c r="B11" s="7" t="s">
        <v>14</v>
      </c>
      <c r="C11" s="11"/>
      <c r="D11" s="18" t="s">
        <v>8</v>
      </c>
      <c r="E11" s="19"/>
    </row>
    <row r="12" spans="1:5">
      <c r="A12" s="6">
        <v>8</v>
      </c>
      <c r="B12" s="7" t="s">
        <v>15</v>
      </c>
      <c r="C12" s="11"/>
      <c r="D12" s="18" t="s">
        <v>8</v>
      </c>
      <c r="E12" s="19"/>
    </row>
    <row r="13" spans="1:5">
      <c r="A13" s="6">
        <v>9</v>
      </c>
      <c r="B13" s="7" t="s">
        <v>16</v>
      </c>
      <c r="C13" s="11"/>
      <c r="D13" s="18" t="s">
        <v>8</v>
      </c>
      <c r="E13" s="19"/>
    </row>
    <row r="14" spans="1:5">
      <c r="A14" s="6">
        <v>10</v>
      </c>
      <c r="B14" s="7" t="s">
        <v>17</v>
      </c>
      <c r="C14" s="11"/>
      <c r="D14" s="18" t="s">
        <v>8</v>
      </c>
      <c r="E14" s="19"/>
    </row>
    <row r="15" spans="1:5">
      <c r="A15" s="6">
        <v>11</v>
      </c>
      <c r="B15" s="7" t="s">
        <v>18</v>
      </c>
      <c r="C15" s="11"/>
      <c r="D15" s="18" t="s">
        <v>8</v>
      </c>
      <c r="E15" s="19"/>
    </row>
    <row r="16" spans="1:5">
      <c r="A16" s="6">
        <v>12</v>
      </c>
      <c r="B16" s="7" t="s">
        <v>19</v>
      </c>
      <c r="C16" s="11"/>
      <c r="D16" s="18" t="s">
        <v>8</v>
      </c>
      <c r="E16" s="19"/>
    </row>
    <row r="17" spans="1:5">
      <c r="A17" s="6">
        <v>13</v>
      </c>
      <c r="B17" s="7" t="s">
        <v>20</v>
      </c>
      <c r="C17" s="11"/>
      <c r="D17" s="18" t="s">
        <v>8</v>
      </c>
      <c r="E17" s="19"/>
    </row>
    <row r="18" spans="1:5">
      <c r="A18" s="6">
        <v>14</v>
      </c>
      <c r="B18" s="7" t="s">
        <v>21</v>
      </c>
      <c r="C18" s="11"/>
      <c r="D18" s="18" t="s">
        <v>8</v>
      </c>
      <c r="E18" s="19"/>
    </row>
    <row r="19" spans="1:5">
      <c r="A19" s="8">
        <v>15</v>
      </c>
      <c r="B19" s="9" t="s">
        <v>22</v>
      </c>
      <c r="C19" s="12"/>
      <c r="D19" s="20" t="s">
        <v>8</v>
      </c>
      <c r="E19" s="21"/>
    </row>
  </sheetData>
  <mergeCells count="2">
    <mergeCell ref="A1:E1"/>
    <mergeCell ref="A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39"/>
  <sheetViews>
    <sheetView workbookViewId="0">
      <selection sqref="A1:L1"/>
    </sheetView>
  </sheetViews>
  <sheetFormatPr defaultRowHeight="14.25"/>
  <cols>
    <col min="1" max="1" width="7" customWidth="1"/>
    <col min="2" max="3" width="14" customWidth="1"/>
    <col min="4" max="4" width="12" customWidth="1"/>
    <col min="5" max="5" width="11" customWidth="1"/>
    <col min="6" max="6" width="18" customWidth="1"/>
    <col min="7" max="7" width="17" customWidth="1"/>
    <col min="8" max="8" width="15" customWidth="1"/>
    <col min="9" max="9" width="16" customWidth="1"/>
    <col min="10" max="10" width="17" customWidth="1"/>
    <col min="11" max="11" width="16" customWidth="1"/>
    <col min="12" max="12" width="50" customWidth="1"/>
  </cols>
  <sheetData>
    <row r="1" spans="1:12" ht="27.95" customHeight="1">
      <c r="A1" s="49" t="s">
        <v>23</v>
      </c>
      <c r="B1" s="50" t="s">
        <v>23</v>
      </c>
      <c r="C1" s="50" t="s">
        <v>23</v>
      </c>
      <c r="D1" s="50" t="s">
        <v>23</v>
      </c>
      <c r="E1" s="50" t="s">
        <v>23</v>
      </c>
      <c r="F1" s="50" t="s">
        <v>23</v>
      </c>
      <c r="G1" s="50" t="s">
        <v>23</v>
      </c>
      <c r="H1" s="50" t="s">
        <v>23</v>
      </c>
      <c r="I1" s="50" t="s">
        <v>23</v>
      </c>
      <c r="J1" s="50" t="s">
        <v>23</v>
      </c>
      <c r="K1" s="50" t="s">
        <v>23</v>
      </c>
      <c r="L1" s="51" t="s">
        <v>23</v>
      </c>
    </row>
    <row r="2" spans="1:12">
      <c r="A2" s="52" t="s">
        <v>24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</row>
    <row r="4" spans="1:12" ht="42" customHeight="1">
      <c r="A4" s="1" t="s">
        <v>2</v>
      </c>
      <c r="B4" s="2" t="s">
        <v>25</v>
      </c>
      <c r="C4" s="2" t="s">
        <v>26</v>
      </c>
      <c r="D4" s="2" t="s">
        <v>27</v>
      </c>
      <c r="E4" s="2" t="s">
        <v>3</v>
      </c>
      <c r="F4" s="2" t="s">
        <v>28</v>
      </c>
      <c r="G4" s="2" t="s">
        <v>29</v>
      </c>
      <c r="H4" s="2" t="s">
        <v>30</v>
      </c>
      <c r="I4" s="2" t="s">
        <v>31</v>
      </c>
      <c r="J4" s="2" t="s">
        <v>32</v>
      </c>
      <c r="K4" s="2" t="s">
        <v>33</v>
      </c>
      <c r="L4" s="3" t="s">
        <v>6</v>
      </c>
    </row>
    <row r="5" spans="1:12">
      <c r="A5" s="4">
        <v>1</v>
      </c>
      <c r="B5" s="5" t="s">
        <v>34</v>
      </c>
      <c r="C5" s="25">
        <v>0.2</v>
      </c>
      <c r="D5" s="25">
        <v>0.1</v>
      </c>
      <c r="E5" s="5" t="s">
        <v>7</v>
      </c>
      <c r="F5" s="28"/>
      <c r="G5" s="29" t="str">
        <f>IF('Referensi Manual'!C5="","",'Referensi Manual'!C5)</f>
        <v/>
      </c>
      <c r="H5" s="29" t="str">
        <f t="shared" ref="H5:H36" si="0">IF(OR(F5="",G5=""),"",ABS(F5-G5))</f>
        <v/>
      </c>
      <c r="I5" s="28"/>
      <c r="J5" s="22" t="s">
        <v>35</v>
      </c>
      <c r="K5" s="22" t="s">
        <v>35</v>
      </c>
      <c r="L5" s="17"/>
    </row>
    <row r="6" spans="1:12">
      <c r="A6" s="6">
        <v>2</v>
      </c>
      <c r="B6" s="7" t="s">
        <v>34</v>
      </c>
      <c r="C6" s="26">
        <v>0.2</v>
      </c>
      <c r="D6" s="26">
        <v>0.1</v>
      </c>
      <c r="E6" s="7" t="s">
        <v>9</v>
      </c>
      <c r="F6" s="30"/>
      <c r="G6" s="31" t="str">
        <f>IF('Referensi Manual'!C6="","",'Referensi Manual'!C6)</f>
        <v/>
      </c>
      <c r="H6" s="31" t="str">
        <f t="shared" si="0"/>
        <v/>
      </c>
      <c r="I6" s="30"/>
      <c r="J6" s="23" t="s">
        <v>35</v>
      </c>
      <c r="K6" s="23" t="s">
        <v>35</v>
      </c>
      <c r="L6" s="19"/>
    </row>
    <row r="7" spans="1:12">
      <c r="A7" s="6">
        <v>3</v>
      </c>
      <c r="B7" s="7" t="s">
        <v>34</v>
      </c>
      <c r="C7" s="26">
        <v>0.2</v>
      </c>
      <c r="D7" s="26">
        <v>0.1</v>
      </c>
      <c r="E7" s="7" t="s">
        <v>10</v>
      </c>
      <c r="F7" s="30"/>
      <c r="G7" s="31" t="str">
        <f>IF('Referensi Manual'!C7="","",'Referensi Manual'!C7)</f>
        <v/>
      </c>
      <c r="H7" s="31" t="str">
        <f t="shared" si="0"/>
        <v/>
      </c>
      <c r="I7" s="30"/>
      <c r="J7" s="23" t="s">
        <v>35</v>
      </c>
      <c r="K7" s="23" t="s">
        <v>35</v>
      </c>
      <c r="L7" s="19"/>
    </row>
    <row r="8" spans="1:12">
      <c r="A8" s="6">
        <v>4</v>
      </c>
      <c r="B8" s="7" t="s">
        <v>34</v>
      </c>
      <c r="C8" s="26">
        <v>0.2</v>
      </c>
      <c r="D8" s="26">
        <v>0.1</v>
      </c>
      <c r="E8" s="7" t="s">
        <v>11</v>
      </c>
      <c r="F8" s="30"/>
      <c r="G8" s="31" t="str">
        <f>IF('Referensi Manual'!C8="","",'Referensi Manual'!C8)</f>
        <v/>
      </c>
      <c r="H8" s="31" t="str">
        <f t="shared" si="0"/>
        <v/>
      </c>
      <c r="I8" s="30"/>
      <c r="J8" s="23" t="s">
        <v>35</v>
      </c>
      <c r="K8" s="23" t="s">
        <v>35</v>
      </c>
      <c r="L8" s="19"/>
    </row>
    <row r="9" spans="1:12">
      <c r="A9" s="6">
        <v>5</v>
      </c>
      <c r="B9" s="7" t="s">
        <v>34</v>
      </c>
      <c r="C9" s="26">
        <v>0.2</v>
      </c>
      <c r="D9" s="26">
        <v>0.1</v>
      </c>
      <c r="E9" s="7" t="s">
        <v>12</v>
      </c>
      <c r="F9" s="30"/>
      <c r="G9" s="31" t="str">
        <f>IF('Referensi Manual'!C9="","",'Referensi Manual'!C9)</f>
        <v/>
      </c>
      <c r="H9" s="31" t="str">
        <f t="shared" si="0"/>
        <v/>
      </c>
      <c r="I9" s="30"/>
      <c r="J9" s="23" t="s">
        <v>35</v>
      </c>
      <c r="K9" s="23" t="s">
        <v>35</v>
      </c>
      <c r="L9" s="19"/>
    </row>
    <row r="10" spans="1:12">
      <c r="A10" s="6">
        <v>6</v>
      </c>
      <c r="B10" s="7" t="s">
        <v>34</v>
      </c>
      <c r="C10" s="26">
        <v>0.2</v>
      </c>
      <c r="D10" s="26">
        <v>0.1</v>
      </c>
      <c r="E10" s="7" t="s">
        <v>13</v>
      </c>
      <c r="F10" s="30"/>
      <c r="G10" s="31" t="str">
        <f>IF('Referensi Manual'!C10="","",'Referensi Manual'!C10)</f>
        <v/>
      </c>
      <c r="H10" s="31" t="str">
        <f t="shared" si="0"/>
        <v/>
      </c>
      <c r="I10" s="30"/>
      <c r="J10" s="23" t="s">
        <v>35</v>
      </c>
      <c r="K10" s="23" t="s">
        <v>35</v>
      </c>
      <c r="L10" s="19"/>
    </row>
    <row r="11" spans="1:12">
      <c r="A11" s="6">
        <v>7</v>
      </c>
      <c r="B11" s="7" t="s">
        <v>34</v>
      </c>
      <c r="C11" s="26">
        <v>0.2</v>
      </c>
      <c r="D11" s="26">
        <v>0.1</v>
      </c>
      <c r="E11" s="7" t="s">
        <v>14</v>
      </c>
      <c r="F11" s="30"/>
      <c r="G11" s="31" t="str">
        <f>IF('Referensi Manual'!C11="","",'Referensi Manual'!C11)</f>
        <v/>
      </c>
      <c r="H11" s="31" t="str">
        <f t="shared" si="0"/>
        <v/>
      </c>
      <c r="I11" s="30"/>
      <c r="J11" s="23" t="s">
        <v>35</v>
      </c>
      <c r="K11" s="23" t="s">
        <v>35</v>
      </c>
      <c r="L11" s="19"/>
    </row>
    <row r="12" spans="1:12">
      <c r="A12" s="6">
        <v>8</v>
      </c>
      <c r="B12" s="7" t="s">
        <v>34</v>
      </c>
      <c r="C12" s="26">
        <v>0.2</v>
      </c>
      <c r="D12" s="26">
        <v>0.1</v>
      </c>
      <c r="E12" s="7" t="s">
        <v>15</v>
      </c>
      <c r="F12" s="30"/>
      <c r="G12" s="31" t="str">
        <f>IF('Referensi Manual'!C12="","",'Referensi Manual'!C12)</f>
        <v/>
      </c>
      <c r="H12" s="31" t="str">
        <f t="shared" si="0"/>
        <v/>
      </c>
      <c r="I12" s="30"/>
      <c r="J12" s="23" t="s">
        <v>35</v>
      </c>
      <c r="K12" s="23" t="s">
        <v>35</v>
      </c>
      <c r="L12" s="19"/>
    </row>
    <row r="13" spans="1:12">
      <c r="A13" s="6">
        <v>9</v>
      </c>
      <c r="B13" s="7" t="s">
        <v>34</v>
      </c>
      <c r="C13" s="26">
        <v>0.2</v>
      </c>
      <c r="D13" s="26">
        <v>0.1</v>
      </c>
      <c r="E13" s="7" t="s">
        <v>16</v>
      </c>
      <c r="F13" s="30"/>
      <c r="G13" s="31" t="str">
        <f>IF('Referensi Manual'!C13="","",'Referensi Manual'!C13)</f>
        <v/>
      </c>
      <c r="H13" s="31" t="str">
        <f t="shared" si="0"/>
        <v/>
      </c>
      <c r="I13" s="30"/>
      <c r="J13" s="23" t="s">
        <v>35</v>
      </c>
      <c r="K13" s="23" t="s">
        <v>35</v>
      </c>
      <c r="L13" s="19"/>
    </row>
    <row r="14" spans="1:12">
      <c r="A14" s="6">
        <v>10</v>
      </c>
      <c r="B14" s="7" t="s">
        <v>34</v>
      </c>
      <c r="C14" s="26">
        <v>0.2</v>
      </c>
      <c r="D14" s="26">
        <v>0.1</v>
      </c>
      <c r="E14" s="7" t="s">
        <v>17</v>
      </c>
      <c r="F14" s="30"/>
      <c r="G14" s="31" t="str">
        <f>IF('Referensi Manual'!C14="","",'Referensi Manual'!C14)</f>
        <v/>
      </c>
      <c r="H14" s="31" t="str">
        <f t="shared" si="0"/>
        <v/>
      </c>
      <c r="I14" s="30"/>
      <c r="J14" s="23" t="s">
        <v>35</v>
      </c>
      <c r="K14" s="23" t="s">
        <v>35</v>
      </c>
      <c r="L14" s="19"/>
    </row>
    <row r="15" spans="1:12">
      <c r="A15" s="6">
        <v>11</v>
      </c>
      <c r="B15" s="7" t="s">
        <v>34</v>
      </c>
      <c r="C15" s="26">
        <v>0.2</v>
      </c>
      <c r="D15" s="26">
        <v>0.1</v>
      </c>
      <c r="E15" s="7" t="s">
        <v>18</v>
      </c>
      <c r="F15" s="30"/>
      <c r="G15" s="31" t="str">
        <f>IF('Referensi Manual'!C15="","",'Referensi Manual'!C15)</f>
        <v/>
      </c>
      <c r="H15" s="31" t="str">
        <f t="shared" si="0"/>
        <v/>
      </c>
      <c r="I15" s="30"/>
      <c r="J15" s="23" t="s">
        <v>35</v>
      </c>
      <c r="K15" s="23" t="s">
        <v>35</v>
      </c>
      <c r="L15" s="19"/>
    </row>
    <row r="16" spans="1:12">
      <c r="A16" s="6">
        <v>12</v>
      </c>
      <c r="B16" s="7" t="s">
        <v>34</v>
      </c>
      <c r="C16" s="26">
        <v>0.2</v>
      </c>
      <c r="D16" s="26">
        <v>0.1</v>
      </c>
      <c r="E16" s="7" t="s">
        <v>19</v>
      </c>
      <c r="F16" s="30"/>
      <c r="G16" s="31" t="str">
        <f>IF('Referensi Manual'!C16="","",'Referensi Manual'!C16)</f>
        <v/>
      </c>
      <c r="H16" s="31" t="str">
        <f t="shared" si="0"/>
        <v/>
      </c>
      <c r="I16" s="30"/>
      <c r="J16" s="23" t="s">
        <v>35</v>
      </c>
      <c r="K16" s="23" t="s">
        <v>35</v>
      </c>
      <c r="L16" s="19"/>
    </row>
    <row r="17" spans="1:12">
      <c r="A17" s="6">
        <v>13</v>
      </c>
      <c r="B17" s="7" t="s">
        <v>34</v>
      </c>
      <c r="C17" s="26">
        <v>0.2</v>
      </c>
      <c r="D17" s="26">
        <v>0.1</v>
      </c>
      <c r="E17" s="7" t="s">
        <v>20</v>
      </c>
      <c r="F17" s="30"/>
      <c r="G17" s="31" t="str">
        <f>IF('Referensi Manual'!C17="","",'Referensi Manual'!C17)</f>
        <v/>
      </c>
      <c r="H17" s="31" t="str">
        <f t="shared" si="0"/>
        <v/>
      </c>
      <c r="I17" s="30"/>
      <c r="J17" s="23" t="s">
        <v>35</v>
      </c>
      <c r="K17" s="23" t="s">
        <v>35</v>
      </c>
      <c r="L17" s="19"/>
    </row>
    <row r="18" spans="1:12">
      <c r="A18" s="6">
        <v>14</v>
      </c>
      <c r="B18" s="7" t="s">
        <v>34</v>
      </c>
      <c r="C18" s="26">
        <v>0.2</v>
      </c>
      <c r="D18" s="26">
        <v>0.1</v>
      </c>
      <c r="E18" s="7" t="s">
        <v>21</v>
      </c>
      <c r="F18" s="30"/>
      <c r="G18" s="31" t="str">
        <f>IF('Referensi Manual'!C18="","",'Referensi Manual'!C18)</f>
        <v/>
      </c>
      <c r="H18" s="31" t="str">
        <f t="shared" si="0"/>
        <v/>
      </c>
      <c r="I18" s="30"/>
      <c r="J18" s="23" t="s">
        <v>35</v>
      </c>
      <c r="K18" s="23" t="s">
        <v>35</v>
      </c>
      <c r="L18" s="19"/>
    </row>
    <row r="19" spans="1:12">
      <c r="A19" s="6">
        <v>15</v>
      </c>
      <c r="B19" s="7" t="s">
        <v>34</v>
      </c>
      <c r="C19" s="26">
        <v>0.2</v>
      </c>
      <c r="D19" s="26">
        <v>0.1</v>
      </c>
      <c r="E19" s="7" t="s">
        <v>22</v>
      </c>
      <c r="F19" s="30"/>
      <c r="G19" s="31" t="str">
        <f>IF('Referensi Manual'!C19="","",'Referensi Manual'!C19)</f>
        <v/>
      </c>
      <c r="H19" s="31" t="str">
        <f t="shared" si="0"/>
        <v/>
      </c>
      <c r="I19" s="30"/>
      <c r="J19" s="23" t="s">
        <v>35</v>
      </c>
      <c r="K19" s="23" t="s">
        <v>35</v>
      </c>
      <c r="L19" s="19"/>
    </row>
    <row r="20" spans="1:12">
      <c r="A20" s="6">
        <v>16</v>
      </c>
      <c r="B20" s="7" t="s">
        <v>36</v>
      </c>
      <c r="C20" s="26">
        <v>0.2</v>
      </c>
      <c r="D20" s="26">
        <v>0.15</v>
      </c>
      <c r="E20" s="7" t="s">
        <v>7</v>
      </c>
      <c r="F20" s="30"/>
      <c r="G20" s="31" t="str">
        <f>IF('Referensi Manual'!C5="","",'Referensi Manual'!C5)</f>
        <v/>
      </c>
      <c r="H20" s="31" t="str">
        <f t="shared" si="0"/>
        <v/>
      </c>
      <c r="I20" s="30"/>
      <c r="J20" s="23" t="s">
        <v>35</v>
      </c>
      <c r="K20" s="23" t="s">
        <v>35</v>
      </c>
      <c r="L20" s="19"/>
    </row>
    <row r="21" spans="1:12">
      <c r="A21" s="6">
        <v>17</v>
      </c>
      <c r="B21" s="7" t="s">
        <v>36</v>
      </c>
      <c r="C21" s="26">
        <v>0.2</v>
      </c>
      <c r="D21" s="26">
        <v>0.15</v>
      </c>
      <c r="E21" s="7" t="s">
        <v>9</v>
      </c>
      <c r="F21" s="30"/>
      <c r="G21" s="31" t="str">
        <f>IF('Referensi Manual'!C6="","",'Referensi Manual'!C6)</f>
        <v/>
      </c>
      <c r="H21" s="31" t="str">
        <f t="shared" si="0"/>
        <v/>
      </c>
      <c r="I21" s="30"/>
      <c r="J21" s="23" t="s">
        <v>35</v>
      </c>
      <c r="K21" s="23" t="s">
        <v>35</v>
      </c>
      <c r="L21" s="19"/>
    </row>
    <row r="22" spans="1:12">
      <c r="A22" s="6">
        <v>18</v>
      </c>
      <c r="B22" s="7" t="s">
        <v>36</v>
      </c>
      <c r="C22" s="26">
        <v>0.2</v>
      </c>
      <c r="D22" s="26">
        <v>0.15</v>
      </c>
      <c r="E22" s="7" t="s">
        <v>10</v>
      </c>
      <c r="F22" s="30"/>
      <c r="G22" s="31" t="str">
        <f>IF('Referensi Manual'!C7="","",'Referensi Manual'!C7)</f>
        <v/>
      </c>
      <c r="H22" s="31" t="str">
        <f t="shared" si="0"/>
        <v/>
      </c>
      <c r="I22" s="30"/>
      <c r="J22" s="23" t="s">
        <v>35</v>
      </c>
      <c r="K22" s="23" t="s">
        <v>35</v>
      </c>
      <c r="L22" s="19"/>
    </row>
    <row r="23" spans="1:12" ht="28.5">
      <c r="A23" s="6">
        <v>19</v>
      </c>
      <c r="B23" s="7" t="s">
        <v>36</v>
      </c>
      <c r="C23" s="26">
        <v>0.2</v>
      </c>
      <c r="D23" s="26">
        <v>0.15</v>
      </c>
      <c r="E23" s="7" t="s">
        <v>11</v>
      </c>
      <c r="F23" s="30"/>
      <c r="G23" s="31" t="str">
        <f>IF('Referensi Manual'!C8="","",'Referensi Manual'!C8)</f>
        <v/>
      </c>
      <c r="H23" s="31" t="str">
        <f t="shared" si="0"/>
        <v/>
      </c>
      <c r="I23" s="30"/>
      <c r="J23" s="23" t="s">
        <v>35</v>
      </c>
      <c r="K23" s="23" t="s">
        <v>37</v>
      </c>
      <c r="L23" s="19" t="s">
        <v>38</v>
      </c>
    </row>
    <row r="24" spans="1:12">
      <c r="A24" s="6">
        <v>20</v>
      </c>
      <c r="B24" s="7" t="s">
        <v>36</v>
      </c>
      <c r="C24" s="26">
        <v>0.2</v>
      </c>
      <c r="D24" s="26">
        <v>0.15</v>
      </c>
      <c r="E24" s="7" t="s">
        <v>12</v>
      </c>
      <c r="F24" s="30"/>
      <c r="G24" s="31" t="str">
        <f>IF('Referensi Manual'!C9="","",'Referensi Manual'!C9)</f>
        <v/>
      </c>
      <c r="H24" s="31" t="str">
        <f t="shared" si="0"/>
        <v/>
      </c>
      <c r="I24" s="30"/>
      <c r="J24" s="23" t="s">
        <v>35</v>
      </c>
      <c r="K24" s="23" t="s">
        <v>35</v>
      </c>
      <c r="L24" s="19"/>
    </row>
    <row r="25" spans="1:12">
      <c r="A25" s="6">
        <v>21</v>
      </c>
      <c r="B25" s="7" t="s">
        <v>36</v>
      </c>
      <c r="C25" s="26">
        <v>0.2</v>
      </c>
      <c r="D25" s="26">
        <v>0.15</v>
      </c>
      <c r="E25" s="7" t="s">
        <v>13</v>
      </c>
      <c r="F25" s="30"/>
      <c r="G25" s="31" t="str">
        <f>IF('Referensi Manual'!C10="","",'Referensi Manual'!C10)</f>
        <v/>
      </c>
      <c r="H25" s="31" t="str">
        <f t="shared" si="0"/>
        <v/>
      </c>
      <c r="I25" s="30"/>
      <c r="J25" s="23" t="s">
        <v>35</v>
      </c>
      <c r="K25" s="23" t="s">
        <v>35</v>
      </c>
      <c r="L25" s="19"/>
    </row>
    <row r="26" spans="1:12">
      <c r="A26" s="6">
        <v>22</v>
      </c>
      <c r="B26" s="7" t="s">
        <v>36</v>
      </c>
      <c r="C26" s="26">
        <v>0.2</v>
      </c>
      <c r="D26" s="26">
        <v>0.15</v>
      </c>
      <c r="E26" s="7" t="s">
        <v>14</v>
      </c>
      <c r="F26" s="30"/>
      <c r="G26" s="31" t="str">
        <f>IF('Referensi Manual'!C11="","",'Referensi Manual'!C11)</f>
        <v/>
      </c>
      <c r="H26" s="31" t="str">
        <f t="shared" si="0"/>
        <v/>
      </c>
      <c r="I26" s="30"/>
      <c r="J26" s="23" t="s">
        <v>35</v>
      </c>
      <c r="K26" s="23" t="s">
        <v>35</v>
      </c>
      <c r="L26" s="19"/>
    </row>
    <row r="27" spans="1:12">
      <c r="A27" s="6">
        <v>23</v>
      </c>
      <c r="B27" s="7" t="s">
        <v>36</v>
      </c>
      <c r="C27" s="26">
        <v>0.2</v>
      </c>
      <c r="D27" s="26">
        <v>0.15</v>
      </c>
      <c r="E27" s="7" t="s">
        <v>15</v>
      </c>
      <c r="F27" s="30"/>
      <c r="G27" s="31" t="str">
        <f>IF('Referensi Manual'!C12="","",'Referensi Manual'!C12)</f>
        <v/>
      </c>
      <c r="H27" s="31" t="str">
        <f t="shared" si="0"/>
        <v/>
      </c>
      <c r="I27" s="30"/>
      <c r="J27" s="23" t="s">
        <v>35</v>
      </c>
      <c r="K27" s="23" t="s">
        <v>35</v>
      </c>
      <c r="L27" s="19"/>
    </row>
    <row r="28" spans="1:12">
      <c r="A28" s="6">
        <v>24</v>
      </c>
      <c r="B28" s="7" t="s">
        <v>36</v>
      </c>
      <c r="C28" s="26">
        <v>0.2</v>
      </c>
      <c r="D28" s="26">
        <v>0.15</v>
      </c>
      <c r="E28" s="7" t="s">
        <v>16</v>
      </c>
      <c r="F28" s="30"/>
      <c r="G28" s="31" t="str">
        <f>IF('Referensi Manual'!C13="","",'Referensi Manual'!C13)</f>
        <v/>
      </c>
      <c r="H28" s="31" t="str">
        <f t="shared" si="0"/>
        <v/>
      </c>
      <c r="I28" s="30"/>
      <c r="J28" s="23" t="s">
        <v>35</v>
      </c>
      <c r="K28" s="23" t="s">
        <v>35</v>
      </c>
      <c r="L28" s="19"/>
    </row>
    <row r="29" spans="1:12">
      <c r="A29" s="6">
        <v>25</v>
      </c>
      <c r="B29" s="7" t="s">
        <v>36</v>
      </c>
      <c r="C29" s="26">
        <v>0.2</v>
      </c>
      <c r="D29" s="26">
        <v>0.15</v>
      </c>
      <c r="E29" s="7" t="s">
        <v>17</v>
      </c>
      <c r="F29" s="30"/>
      <c r="G29" s="31" t="str">
        <f>IF('Referensi Manual'!C14="","",'Referensi Manual'!C14)</f>
        <v/>
      </c>
      <c r="H29" s="31" t="str">
        <f t="shared" si="0"/>
        <v/>
      </c>
      <c r="I29" s="30"/>
      <c r="J29" s="23" t="s">
        <v>35</v>
      </c>
      <c r="K29" s="23" t="s">
        <v>35</v>
      </c>
      <c r="L29" s="19"/>
    </row>
    <row r="30" spans="1:12">
      <c r="A30" s="6">
        <v>26</v>
      </c>
      <c r="B30" s="7" t="s">
        <v>36</v>
      </c>
      <c r="C30" s="26">
        <v>0.2</v>
      </c>
      <c r="D30" s="26">
        <v>0.15</v>
      </c>
      <c r="E30" s="7" t="s">
        <v>18</v>
      </c>
      <c r="F30" s="30"/>
      <c r="G30" s="31" t="str">
        <f>IF('Referensi Manual'!C15="","",'Referensi Manual'!C15)</f>
        <v/>
      </c>
      <c r="H30" s="31" t="str">
        <f t="shared" si="0"/>
        <v/>
      </c>
      <c r="I30" s="30"/>
      <c r="J30" s="23" t="s">
        <v>35</v>
      </c>
      <c r="K30" s="23" t="s">
        <v>35</v>
      </c>
      <c r="L30" s="19"/>
    </row>
    <row r="31" spans="1:12">
      <c r="A31" s="6">
        <v>27</v>
      </c>
      <c r="B31" s="7" t="s">
        <v>36</v>
      </c>
      <c r="C31" s="26">
        <v>0.2</v>
      </c>
      <c r="D31" s="26">
        <v>0.15</v>
      </c>
      <c r="E31" s="7" t="s">
        <v>19</v>
      </c>
      <c r="F31" s="30"/>
      <c r="G31" s="31" t="str">
        <f>IF('Referensi Manual'!C16="","",'Referensi Manual'!C16)</f>
        <v/>
      </c>
      <c r="H31" s="31" t="str">
        <f t="shared" si="0"/>
        <v/>
      </c>
      <c r="I31" s="30"/>
      <c r="J31" s="23" t="s">
        <v>35</v>
      </c>
      <c r="K31" s="23" t="s">
        <v>35</v>
      </c>
      <c r="L31" s="19"/>
    </row>
    <row r="32" spans="1:12" ht="28.5">
      <c r="A32" s="6">
        <v>28</v>
      </c>
      <c r="B32" s="7" t="s">
        <v>36</v>
      </c>
      <c r="C32" s="26">
        <v>0.2</v>
      </c>
      <c r="D32" s="26">
        <v>0.15</v>
      </c>
      <c r="E32" s="7" t="s">
        <v>20</v>
      </c>
      <c r="F32" s="30"/>
      <c r="G32" s="31" t="str">
        <f>IF('Referensi Manual'!C17="","",'Referensi Manual'!C17)</f>
        <v/>
      </c>
      <c r="H32" s="31" t="str">
        <f t="shared" si="0"/>
        <v/>
      </c>
      <c r="I32" s="30"/>
      <c r="J32" s="23" t="s">
        <v>35</v>
      </c>
      <c r="K32" s="23" t="s">
        <v>37</v>
      </c>
      <c r="L32" s="19" t="s">
        <v>38</v>
      </c>
    </row>
    <row r="33" spans="1:12">
      <c r="A33" s="6">
        <v>29</v>
      </c>
      <c r="B33" s="7" t="s">
        <v>36</v>
      </c>
      <c r="C33" s="26">
        <v>0.2</v>
      </c>
      <c r="D33" s="26">
        <v>0.15</v>
      </c>
      <c r="E33" s="7" t="s">
        <v>21</v>
      </c>
      <c r="F33" s="30"/>
      <c r="G33" s="31" t="str">
        <f>IF('Referensi Manual'!C18="","",'Referensi Manual'!C18)</f>
        <v/>
      </c>
      <c r="H33" s="31" t="str">
        <f t="shared" si="0"/>
        <v/>
      </c>
      <c r="I33" s="30"/>
      <c r="J33" s="23" t="s">
        <v>35</v>
      </c>
      <c r="K33" s="23" t="s">
        <v>35</v>
      </c>
      <c r="L33" s="19"/>
    </row>
    <row r="34" spans="1:12">
      <c r="A34" s="6">
        <v>30</v>
      </c>
      <c r="B34" s="7" t="s">
        <v>36</v>
      </c>
      <c r="C34" s="26">
        <v>0.2</v>
      </c>
      <c r="D34" s="26">
        <v>0.15</v>
      </c>
      <c r="E34" s="7" t="s">
        <v>22</v>
      </c>
      <c r="F34" s="30"/>
      <c r="G34" s="31" t="str">
        <f>IF('Referensi Manual'!C19="","",'Referensi Manual'!C19)</f>
        <v/>
      </c>
      <c r="H34" s="31" t="str">
        <f t="shared" si="0"/>
        <v/>
      </c>
      <c r="I34" s="30"/>
      <c r="J34" s="23" t="s">
        <v>35</v>
      </c>
      <c r="K34" s="23" t="s">
        <v>35</v>
      </c>
      <c r="L34" s="19"/>
    </row>
    <row r="35" spans="1:12">
      <c r="A35" s="6">
        <v>31</v>
      </c>
      <c r="B35" s="7" t="s">
        <v>39</v>
      </c>
      <c r="C35" s="26">
        <v>0.2</v>
      </c>
      <c r="D35" s="26">
        <v>0.2</v>
      </c>
      <c r="E35" s="7" t="s">
        <v>7</v>
      </c>
      <c r="F35" s="30"/>
      <c r="G35" s="31" t="str">
        <f>IF('Referensi Manual'!C5="","",'Referensi Manual'!C5)</f>
        <v/>
      </c>
      <c r="H35" s="31" t="str">
        <f t="shared" si="0"/>
        <v/>
      </c>
      <c r="I35" s="30"/>
      <c r="J35" s="23" t="s">
        <v>35</v>
      </c>
      <c r="K35" s="23" t="s">
        <v>35</v>
      </c>
      <c r="L35" s="19"/>
    </row>
    <row r="36" spans="1:12">
      <c r="A36" s="6">
        <v>32</v>
      </c>
      <c r="B36" s="7" t="s">
        <v>39</v>
      </c>
      <c r="C36" s="26">
        <v>0.2</v>
      </c>
      <c r="D36" s="26">
        <v>0.2</v>
      </c>
      <c r="E36" s="7" t="s">
        <v>9</v>
      </c>
      <c r="F36" s="30"/>
      <c r="G36" s="31" t="str">
        <f>IF('Referensi Manual'!C6="","",'Referensi Manual'!C6)</f>
        <v/>
      </c>
      <c r="H36" s="31" t="str">
        <f t="shared" si="0"/>
        <v/>
      </c>
      <c r="I36" s="30"/>
      <c r="J36" s="23" t="s">
        <v>35</v>
      </c>
      <c r="K36" s="23" t="s">
        <v>35</v>
      </c>
      <c r="L36" s="19"/>
    </row>
    <row r="37" spans="1:12">
      <c r="A37" s="6">
        <v>33</v>
      </c>
      <c r="B37" s="7" t="s">
        <v>39</v>
      </c>
      <c r="C37" s="26">
        <v>0.2</v>
      </c>
      <c r="D37" s="26">
        <v>0.2</v>
      </c>
      <c r="E37" s="7" t="s">
        <v>10</v>
      </c>
      <c r="F37" s="30"/>
      <c r="G37" s="31" t="str">
        <f>IF('Referensi Manual'!C7="","",'Referensi Manual'!C7)</f>
        <v/>
      </c>
      <c r="H37" s="31" t="str">
        <f t="shared" ref="H37:H68" si="1">IF(OR(F37="",G37=""),"",ABS(F37-G37))</f>
        <v/>
      </c>
      <c r="I37" s="30"/>
      <c r="J37" s="23" t="s">
        <v>35</v>
      </c>
      <c r="K37" s="23" t="s">
        <v>35</v>
      </c>
      <c r="L37" s="19"/>
    </row>
    <row r="38" spans="1:12">
      <c r="A38" s="6">
        <v>34</v>
      </c>
      <c r="B38" s="7" t="s">
        <v>39</v>
      </c>
      <c r="C38" s="26">
        <v>0.2</v>
      </c>
      <c r="D38" s="26">
        <v>0.2</v>
      </c>
      <c r="E38" s="7" t="s">
        <v>11</v>
      </c>
      <c r="F38" s="30"/>
      <c r="G38" s="31" t="str">
        <f>IF('Referensi Manual'!C8="","",'Referensi Manual'!C8)</f>
        <v/>
      </c>
      <c r="H38" s="31" t="str">
        <f t="shared" si="1"/>
        <v/>
      </c>
      <c r="I38" s="30"/>
      <c r="J38" s="23" t="s">
        <v>35</v>
      </c>
      <c r="K38" s="23" t="s">
        <v>35</v>
      </c>
      <c r="L38" s="19"/>
    </row>
    <row r="39" spans="1:12">
      <c r="A39" s="6">
        <v>35</v>
      </c>
      <c r="B39" s="7" t="s">
        <v>39</v>
      </c>
      <c r="C39" s="26">
        <v>0.2</v>
      </c>
      <c r="D39" s="26">
        <v>0.2</v>
      </c>
      <c r="E39" s="7" t="s">
        <v>12</v>
      </c>
      <c r="F39" s="30"/>
      <c r="G39" s="31" t="str">
        <f>IF('Referensi Manual'!C9="","",'Referensi Manual'!C9)</f>
        <v/>
      </c>
      <c r="H39" s="31" t="str">
        <f t="shared" si="1"/>
        <v/>
      </c>
      <c r="I39" s="30"/>
      <c r="J39" s="23" t="s">
        <v>35</v>
      </c>
      <c r="K39" s="23" t="s">
        <v>35</v>
      </c>
      <c r="L39" s="19"/>
    </row>
    <row r="40" spans="1:12">
      <c r="A40" s="6">
        <v>36</v>
      </c>
      <c r="B40" s="7" t="s">
        <v>39</v>
      </c>
      <c r="C40" s="26">
        <v>0.2</v>
      </c>
      <c r="D40" s="26">
        <v>0.2</v>
      </c>
      <c r="E40" s="7" t="s">
        <v>13</v>
      </c>
      <c r="F40" s="30"/>
      <c r="G40" s="31" t="str">
        <f>IF('Referensi Manual'!C10="","",'Referensi Manual'!C10)</f>
        <v/>
      </c>
      <c r="H40" s="31" t="str">
        <f t="shared" si="1"/>
        <v/>
      </c>
      <c r="I40" s="30"/>
      <c r="J40" s="23" t="s">
        <v>35</v>
      </c>
      <c r="K40" s="23" t="s">
        <v>35</v>
      </c>
      <c r="L40" s="19"/>
    </row>
    <row r="41" spans="1:12">
      <c r="A41" s="6">
        <v>37</v>
      </c>
      <c r="B41" s="7" t="s">
        <v>39</v>
      </c>
      <c r="C41" s="26">
        <v>0.2</v>
      </c>
      <c r="D41" s="26">
        <v>0.2</v>
      </c>
      <c r="E41" s="7" t="s">
        <v>14</v>
      </c>
      <c r="F41" s="30"/>
      <c r="G41" s="31" t="str">
        <f>IF('Referensi Manual'!C11="","",'Referensi Manual'!C11)</f>
        <v/>
      </c>
      <c r="H41" s="31" t="str">
        <f t="shared" si="1"/>
        <v/>
      </c>
      <c r="I41" s="30"/>
      <c r="J41" s="23" t="s">
        <v>35</v>
      </c>
      <c r="K41" s="23" t="s">
        <v>35</v>
      </c>
      <c r="L41" s="19"/>
    </row>
    <row r="42" spans="1:12">
      <c r="A42" s="6">
        <v>38</v>
      </c>
      <c r="B42" s="7" t="s">
        <v>39</v>
      </c>
      <c r="C42" s="26">
        <v>0.2</v>
      </c>
      <c r="D42" s="26">
        <v>0.2</v>
      </c>
      <c r="E42" s="7" t="s">
        <v>15</v>
      </c>
      <c r="F42" s="30"/>
      <c r="G42" s="31" t="str">
        <f>IF('Referensi Manual'!C12="","",'Referensi Manual'!C12)</f>
        <v/>
      </c>
      <c r="H42" s="31" t="str">
        <f t="shared" si="1"/>
        <v/>
      </c>
      <c r="I42" s="30"/>
      <c r="J42" s="23" t="s">
        <v>35</v>
      </c>
      <c r="K42" s="23" t="s">
        <v>35</v>
      </c>
      <c r="L42" s="19"/>
    </row>
    <row r="43" spans="1:12">
      <c r="A43" s="6">
        <v>39</v>
      </c>
      <c r="B43" s="7" t="s">
        <v>39</v>
      </c>
      <c r="C43" s="26">
        <v>0.2</v>
      </c>
      <c r="D43" s="26">
        <v>0.2</v>
      </c>
      <c r="E43" s="7" t="s">
        <v>16</v>
      </c>
      <c r="F43" s="30"/>
      <c r="G43" s="31" t="str">
        <f>IF('Referensi Manual'!C13="","",'Referensi Manual'!C13)</f>
        <v/>
      </c>
      <c r="H43" s="31" t="str">
        <f t="shared" si="1"/>
        <v/>
      </c>
      <c r="I43" s="30"/>
      <c r="J43" s="23" t="s">
        <v>35</v>
      </c>
      <c r="K43" s="23" t="s">
        <v>35</v>
      </c>
      <c r="L43" s="19"/>
    </row>
    <row r="44" spans="1:12">
      <c r="A44" s="6">
        <v>40</v>
      </c>
      <c r="B44" s="7" t="s">
        <v>39</v>
      </c>
      <c r="C44" s="26">
        <v>0.2</v>
      </c>
      <c r="D44" s="26">
        <v>0.2</v>
      </c>
      <c r="E44" s="7" t="s">
        <v>17</v>
      </c>
      <c r="F44" s="30"/>
      <c r="G44" s="31" t="str">
        <f>IF('Referensi Manual'!C14="","",'Referensi Manual'!C14)</f>
        <v/>
      </c>
      <c r="H44" s="31" t="str">
        <f t="shared" si="1"/>
        <v/>
      </c>
      <c r="I44" s="30"/>
      <c r="J44" s="23" t="s">
        <v>35</v>
      </c>
      <c r="K44" s="23" t="s">
        <v>35</v>
      </c>
      <c r="L44" s="19"/>
    </row>
    <row r="45" spans="1:12">
      <c r="A45" s="6">
        <v>41</v>
      </c>
      <c r="B45" s="7" t="s">
        <v>39</v>
      </c>
      <c r="C45" s="26">
        <v>0.2</v>
      </c>
      <c r="D45" s="26">
        <v>0.2</v>
      </c>
      <c r="E45" s="7" t="s">
        <v>18</v>
      </c>
      <c r="F45" s="30"/>
      <c r="G45" s="31" t="str">
        <f>IF('Referensi Manual'!C15="","",'Referensi Manual'!C15)</f>
        <v/>
      </c>
      <c r="H45" s="31" t="str">
        <f t="shared" si="1"/>
        <v/>
      </c>
      <c r="I45" s="30"/>
      <c r="J45" s="23" t="s">
        <v>35</v>
      </c>
      <c r="K45" s="23" t="s">
        <v>35</v>
      </c>
      <c r="L45" s="19"/>
    </row>
    <row r="46" spans="1:12">
      <c r="A46" s="6">
        <v>42</v>
      </c>
      <c r="B46" s="7" t="s">
        <v>39</v>
      </c>
      <c r="C46" s="26">
        <v>0.2</v>
      </c>
      <c r="D46" s="26">
        <v>0.2</v>
      </c>
      <c r="E46" s="7" t="s">
        <v>19</v>
      </c>
      <c r="F46" s="30"/>
      <c r="G46" s="31" t="str">
        <f>IF('Referensi Manual'!C16="","",'Referensi Manual'!C16)</f>
        <v/>
      </c>
      <c r="H46" s="31" t="str">
        <f t="shared" si="1"/>
        <v/>
      </c>
      <c r="I46" s="30"/>
      <c r="J46" s="23" t="s">
        <v>35</v>
      </c>
      <c r="K46" s="23" t="s">
        <v>35</v>
      </c>
      <c r="L46" s="19"/>
    </row>
    <row r="47" spans="1:12">
      <c r="A47" s="6">
        <v>43</v>
      </c>
      <c r="B47" s="7" t="s">
        <v>39</v>
      </c>
      <c r="C47" s="26">
        <v>0.2</v>
      </c>
      <c r="D47" s="26">
        <v>0.2</v>
      </c>
      <c r="E47" s="7" t="s">
        <v>20</v>
      </c>
      <c r="F47" s="30"/>
      <c r="G47" s="31" t="str">
        <f>IF('Referensi Manual'!C17="","",'Referensi Manual'!C17)</f>
        <v/>
      </c>
      <c r="H47" s="31" t="str">
        <f t="shared" si="1"/>
        <v/>
      </c>
      <c r="I47" s="30"/>
      <c r="J47" s="23" t="s">
        <v>35</v>
      </c>
      <c r="K47" s="23" t="s">
        <v>35</v>
      </c>
      <c r="L47" s="19"/>
    </row>
    <row r="48" spans="1:12">
      <c r="A48" s="6">
        <v>44</v>
      </c>
      <c r="B48" s="7" t="s">
        <v>39</v>
      </c>
      <c r="C48" s="26">
        <v>0.2</v>
      </c>
      <c r="D48" s="26">
        <v>0.2</v>
      </c>
      <c r="E48" s="7" t="s">
        <v>21</v>
      </c>
      <c r="F48" s="30"/>
      <c r="G48" s="31" t="str">
        <f>IF('Referensi Manual'!C18="","",'Referensi Manual'!C18)</f>
        <v/>
      </c>
      <c r="H48" s="31" t="str">
        <f t="shared" si="1"/>
        <v/>
      </c>
      <c r="I48" s="30"/>
      <c r="J48" s="23" t="s">
        <v>35</v>
      </c>
      <c r="K48" s="23" t="s">
        <v>35</v>
      </c>
      <c r="L48" s="19"/>
    </row>
    <row r="49" spans="1:12">
      <c r="A49" s="6">
        <v>45</v>
      </c>
      <c r="B49" s="7" t="s">
        <v>39</v>
      </c>
      <c r="C49" s="26">
        <v>0.2</v>
      </c>
      <c r="D49" s="26">
        <v>0.2</v>
      </c>
      <c r="E49" s="7" t="s">
        <v>22</v>
      </c>
      <c r="F49" s="30"/>
      <c r="G49" s="31" t="str">
        <f>IF('Referensi Manual'!C19="","",'Referensi Manual'!C19)</f>
        <v/>
      </c>
      <c r="H49" s="31" t="str">
        <f t="shared" si="1"/>
        <v/>
      </c>
      <c r="I49" s="30"/>
      <c r="J49" s="23" t="s">
        <v>35</v>
      </c>
      <c r="K49" s="23" t="s">
        <v>35</v>
      </c>
      <c r="L49" s="19"/>
    </row>
    <row r="50" spans="1:12">
      <c r="A50" s="6">
        <v>46</v>
      </c>
      <c r="B50" s="7" t="s">
        <v>40</v>
      </c>
      <c r="C50" s="26">
        <v>0.28000000000000003</v>
      </c>
      <c r="D50" s="26">
        <v>0.1</v>
      </c>
      <c r="E50" s="7" t="s">
        <v>7</v>
      </c>
      <c r="F50" s="30"/>
      <c r="G50" s="31" t="str">
        <f>IF('Referensi Manual'!C5="","",'Referensi Manual'!C5)</f>
        <v/>
      </c>
      <c r="H50" s="31" t="str">
        <f t="shared" si="1"/>
        <v/>
      </c>
      <c r="I50" s="30"/>
      <c r="J50" s="23" t="s">
        <v>35</v>
      </c>
      <c r="K50" s="23" t="s">
        <v>35</v>
      </c>
      <c r="L50" s="19"/>
    </row>
    <row r="51" spans="1:12">
      <c r="A51" s="6">
        <v>47</v>
      </c>
      <c r="B51" s="7" t="s">
        <v>40</v>
      </c>
      <c r="C51" s="26">
        <v>0.28000000000000003</v>
      </c>
      <c r="D51" s="26">
        <v>0.1</v>
      </c>
      <c r="E51" s="7" t="s">
        <v>9</v>
      </c>
      <c r="F51" s="30"/>
      <c r="G51" s="31" t="str">
        <f>IF('Referensi Manual'!C6="","",'Referensi Manual'!C6)</f>
        <v/>
      </c>
      <c r="H51" s="31" t="str">
        <f t="shared" si="1"/>
        <v/>
      </c>
      <c r="I51" s="30"/>
      <c r="J51" s="23" t="s">
        <v>35</v>
      </c>
      <c r="K51" s="23" t="s">
        <v>35</v>
      </c>
      <c r="L51" s="19"/>
    </row>
    <row r="52" spans="1:12">
      <c r="A52" s="6">
        <v>48</v>
      </c>
      <c r="B52" s="7" t="s">
        <v>40</v>
      </c>
      <c r="C52" s="26">
        <v>0.28000000000000003</v>
      </c>
      <c r="D52" s="26">
        <v>0.1</v>
      </c>
      <c r="E52" s="7" t="s">
        <v>10</v>
      </c>
      <c r="F52" s="30"/>
      <c r="G52" s="31" t="str">
        <f>IF('Referensi Manual'!C7="","",'Referensi Manual'!C7)</f>
        <v/>
      </c>
      <c r="H52" s="31" t="str">
        <f t="shared" si="1"/>
        <v/>
      </c>
      <c r="I52" s="30"/>
      <c r="J52" s="23" t="s">
        <v>35</v>
      </c>
      <c r="K52" s="23" t="s">
        <v>35</v>
      </c>
      <c r="L52" s="19"/>
    </row>
    <row r="53" spans="1:12">
      <c r="A53" s="6">
        <v>49</v>
      </c>
      <c r="B53" s="7" t="s">
        <v>40</v>
      </c>
      <c r="C53" s="26">
        <v>0.28000000000000003</v>
      </c>
      <c r="D53" s="26">
        <v>0.1</v>
      </c>
      <c r="E53" s="7" t="s">
        <v>11</v>
      </c>
      <c r="F53" s="30"/>
      <c r="G53" s="31" t="str">
        <f>IF('Referensi Manual'!C8="","",'Referensi Manual'!C8)</f>
        <v/>
      </c>
      <c r="H53" s="31" t="str">
        <f t="shared" si="1"/>
        <v/>
      </c>
      <c r="I53" s="30"/>
      <c r="J53" s="23" t="s">
        <v>35</v>
      </c>
      <c r="K53" s="23" t="s">
        <v>35</v>
      </c>
      <c r="L53" s="19"/>
    </row>
    <row r="54" spans="1:12">
      <c r="A54" s="6">
        <v>50</v>
      </c>
      <c r="B54" s="7" t="s">
        <v>40</v>
      </c>
      <c r="C54" s="26">
        <v>0.28000000000000003</v>
      </c>
      <c r="D54" s="26">
        <v>0.1</v>
      </c>
      <c r="E54" s="7" t="s">
        <v>12</v>
      </c>
      <c r="F54" s="30"/>
      <c r="G54" s="31" t="str">
        <f>IF('Referensi Manual'!C9="","",'Referensi Manual'!C9)</f>
        <v/>
      </c>
      <c r="H54" s="31" t="str">
        <f t="shared" si="1"/>
        <v/>
      </c>
      <c r="I54" s="30"/>
      <c r="J54" s="23" t="s">
        <v>35</v>
      </c>
      <c r="K54" s="23" t="s">
        <v>35</v>
      </c>
      <c r="L54" s="19"/>
    </row>
    <row r="55" spans="1:12">
      <c r="A55" s="6">
        <v>51</v>
      </c>
      <c r="B55" s="7" t="s">
        <v>40</v>
      </c>
      <c r="C55" s="26">
        <v>0.28000000000000003</v>
      </c>
      <c r="D55" s="26">
        <v>0.1</v>
      </c>
      <c r="E55" s="7" t="s">
        <v>13</v>
      </c>
      <c r="F55" s="30"/>
      <c r="G55" s="31" t="str">
        <f>IF('Referensi Manual'!C10="","",'Referensi Manual'!C10)</f>
        <v/>
      </c>
      <c r="H55" s="31" t="str">
        <f t="shared" si="1"/>
        <v/>
      </c>
      <c r="I55" s="30"/>
      <c r="J55" s="23" t="s">
        <v>35</v>
      </c>
      <c r="K55" s="23" t="s">
        <v>35</v>
      </c>
      <c r="L55" s="19"/>
    </row>
    <row r="56" spans="1:12">
      <c r="A56" s="6">
        <v>52</v>
      </c>
      <c r="B56" s="7" t="s">
        <v>40</v>
      </c>
      <c r="C56" s="26">
        <v>0.28000000000000003</v>
      </c>
      <c r="D56" s="26">
        <v>0.1</v>
      </c>
      <c r="E56" s="7" t="s">
        <v>14</v>
      </c>
      <c r="F56" s="30"/>
      <c r="G56" s="31" t="str">
        <f>IF('Referensi Manual'!C11="","",'Referensi Manual'!C11)</f>
        <v/>
      </c>
      <c r="H56" s="31" t="str">
        <f t="shared" si="1"/>
        <v/>
      </c>
      <c r="I56" s="30"/>
      <c r="J56" s="23" t="s">
        <v>35</v>
      </c>
      <c r="K56" s="23" t="s">
        <v>35</v>
      </c>
      <c r="L56" s="19"/>
    </row>
    <row r="57" spans="1:12">
      <c r="A57" s="6">
        <v>53</v>
      </c>
      <c r="B57" s="7" t="s">
        <v>40</v>
      </c>
      <c r="C57" s="26">
        <v>0.28000000000000003</v>
      </c>
      <c r="D57" s="26">
        <v>0.1</v>
      </c>
      <c r="E57" s="7" t="s">
        <v>15</v>
      </c>
      <c r="F57" s="30"/>
      <c r="G57" s="31" t="str">
        <f>IF('Referensi Manual'!C12="","",'Referensi Manual'!C12)</f>
        <v/>
      </c>
      <c r="H57" s="31" t="str">
        <f t="shared" si="1"/>
        <v/>
      </c>
      <c r="I57" s="30"/>
      <c r="J57" s="23" t="s">
        <v>35</v>
      </c>
      <c r="K57" s="23" t="s">
        <v>35</v>
      </c>
      <c r="L57" s="19"/>
    </row>
    <row r="58" spans="1:12">
      <c r="A58" s="6">
        <v>54</v>
      </c>
      <c r="B58" s="7" t="s">
        <v>40</v>
      </c>
      <c r="C58" s="26">
        <v>0.28000000000000003</v>
      </c>
      <c r="D58" s="26">
        <v>0.1</v>
      </c>
      <c r="E58" s="7" t="s">
        <v>16</v>
      </c>
      <c r="F58" s="30"/>
      <c r="G58" s="31" t="str">
        <f>IF('Referensi Manual'!C13="","",'Referensi Manual'!C13)</f>
        <v/>
      </c>
      <c r="H58" s="31" t="str">
        <f t="shared" si="1"/>
        <v/>
      </c>
      <c r="I58" s="30"/>
      <c r="J58" s="23" t="s">
        <v>35</v>
      </c>
      <c r="K58" s="23" t="s">
        <v>35</v>
      </c>
      <c r="L58" s="19"/>
    </row>
    <row r="59" spans="1:12">
      <c r="A59" s="6">
        <v>55</v>
      </c>
      <c r="B59" s="7" t="s">
        <v>40</v>
      </c>
      <c r="C59" s="26">
        <v>0.28000000000000003</v>
      </c>
      <c r="D59" s="26">
        <v>0.1</v>
      </c>
      <c r="E59" s="7" t="s">
        <v>17</v>
      </c>
      <c r="F59" s="30"/>
      <c r="G59" s="31" t="str">
        <f>IF('Referensi Manual'!C14="","",'Referensi Manual'!C14)</f>
        <v/>
      </c>
      <c r="H59" s="31" t="str">
        <f t="shared" si="1"/>
        <v/>
      </c>
      <c r="I59" s="30"/>
      <c r="J59" s="23" t="s">
        <v>35</v>
      </c>
      <c r="K59" s="23" t="s">
        <v>35</v>
      </c>
      <c r="L59" s="19"/>
    </row>
    <row r="60" spans="1:12">
      <c r="A60" s="6">
        <v>56</v>
      </c>
      <c r="B60" s="7" t="s">
        <v>40</v>
      </c>
      <c r="C60" s="26">
        <v>0.28000000000000003</v>
      </c>
      <c r="D60" s="26">
        <v>0.1</v>
      </c>
      <c r="E60" s="7" t="s">
        <v>18</v>
      </c>
      <c r="F60" s="30"/>
      <c r="G60" s="31" t="str">
        <f>IF('Referensi Manual'!C15="","",'Referensi Manual'!C15)</f>
        <v/>
      </c>
      <c r="H60" s="31" t="str">
        <f t="shared" si="1"/>
        <v/>
      </c>
      <c r="I60" s="30"/>
      <c r="J60" s="23" t="s">
        <v>35</v>
      </c>
      <c r="K60" s="23" t="s">
        <v>35</v>
      </c>
      <c r="L60" s="19"/>
    </row>
    <row r="61" spans="1:12">
      <c r="A61" s="6">
        <v>57</v>
      </c>
      <c r="B61" s="7" t="s">
        <v>40</v>
      </c>
      <c r="C61" s="26">
        <v>0.28000000000000003</v>
      </c>
      <c r="D61" s="26">
        <v>0.1</v>
      </c>
      <c r="E61" s="7" t="s">
        <v>19</v>
      </c>
      <c r="F61" s="30"/>
      <c r="G61" s="31" t="str">
        <f>IF('Referensi Manual'!C16="","",'Referensi Manual'!C16)</f>
        <v/>
      </c>
      <c r="H61" s="31" t="str">
        <f t="shared" si="1"/>
        <v/>
      </c>
      <c r="I61" s="30"/>
      <c r="J61" s="23" t="s">
        <v>35</v>
      </c>
      <c r="K61" s="23" t="s">
        <v>35</v>
      </c>
      <c r="L61" s="19"/>
    </row>
    <row r="62" spans="1:12" ht="28.5">
      <c r="A62" s="6">
        <v>58</v>
      </c>
      <c r="B62" s="7" t="s">
        <v>40</v>
      </c>
      <c r="C62" s="26">
        <v>0.28000000000000003</v>
      </c>
      <c r="D62" s="26">
        <v>0.1</v>
      </c>
      <c r="E62" s="7" t="s">
        <v>20</v>
      </c>
      <c r="F62" s="30"/>
      <c r="G62" s="31" t="str">
        <f>IF('Referensi Manual'!C17="","",'Referensi Manual'!C17)</f>
        <v/>
      </c>
      <c r="H62" s="31" t="str">
        <f t="shared" si="1"/>
        <v/>
      </c>
      <c r="I62" s="30"/>
      <c r="J62" s="23" t="s">
        <v>35</v>
      </c>
      <c r="K62" s="23" t="s">
        <v>37</v>
      </c>
      <c r="L62" s="19" t="s">
        <v>41</v>
      </c>
    </row>
    <row r="63" spans="1:12">
      <c r="A63" s="6">
        <v>59</v>
      </c>
      <c r="B63" s="7" t="s">
        <v>40</v>
      </c>
      <c r="C63" s="26">
        <v>0.28000000000000003</v>
      </c>
      <c r="D63" s="26">
        <v>0.1</v>
      </c>
      <c r="E63" s="7" t="s">
        <v>21</v>
      </c>
      <c r="F63" s="30"/>
      <c r="G63" s="31" t="str">
        <f>IF('Referensi Manual'!C18="","",'Referensi Manual'!C18)</f>
        <v/>
      </c>
      <c r="H63" s="31" t="str">
        <f t="shared" si="1"/>
        <v/>
      </c>
      <c r="I63" s="30"/>
      <c r="J63" s="23" t="s">
        <v>35</v>
      </c>
      <c r="K63" s="23" t="s">
        <v>35</v>
      </c>
      <c r="L63" s="19"/>
    </row>
    <row r="64" spans="1:12">
      <c r="A64" s="6">
        <v>60</v>
      </c>
      <c r="B64" s="7" t="s">
        <v>40</v>
      </c>
      <c r="C64" s="26">
        <v>0.28000000000000003</v>
      </c>
      <c r="D64" s="26">
        <v>0.1</v>
      </c>
      <c r="E64" s="7" t="s">
        <v>22</v>
      </c>
      <c r="F64" s="30"/>
      <c r="G64" s="31" t="str">
        <f>IF('Referensi Manual'!C19="","",'Referensi Manual'!C19)</f>
        <v/>
      </c>
      <c r="H64" s="31" t="str">
        <f t="shared" si="1"/>
        <v/>
      </c>
      <c r="I64" s="30"/>
      <c r="J64" s="23" t="s">
        <v>35</v>
      </c>
      <c r="K64" s="23" t="s">
        <v>35</v>
      </c>
      <c r="L64" s="19"/>
    </row>
    <row r="65" spans="1:12">
      <c r="A65" s="6">
        <v>61</v>
      </c>
      <c r="B65" s="7" t="s">
        <v>42</v>
      </c>
      <c r="C65" s="26">
        <v>0.28000000000000003</v>
      </c>
      <c r="D65" s="26">
        <v>0.15</v>
      </c>
      <c r="E65" s="7" t="s">
        <v>7</v>
      </c>
      <c r="F65" s="30"/>
      <c r="G65" s="31" t="str">
        <f>IF('Referensi Manual'!C5="","",'Referensi Manual'!C5)</f>
        <v/>
      </c>
      <c r="H65" s="31" t="str">
        <f t="shared" si="1"/>
        <v/>
      </c>
      <c r="I65" s="30"/>
      <c r="J65" s="23" t="s">
        <v>35</v>
      </c>
      <c r="K65" s="23" t="s">
        <v>35</v>
      </c>
      <c r="L65" s="19"/>
    </row>
    <row r="66" spans="1:12">
      <c r="A66" s="6">
        <v>62</v>
      </c>
      <c r="B66" s="7" t="s">
        <v>42</v>
      </c>
      <c r="C66" s="26">
        <v>0.28000000000000003</v>
      </c>
      <c r="D66" s="26">
        <v>0.15</v>
      </c>
      <c r="E66" s="7" t="s">
        <v>9</v>
      </c>
      <c r="F66" s="30"/>
      <c r="G66" s="31" t="str">
        <f>IF('Referensi Manual'!C6="","",'Referensi Manual'!C6)</f>
        <v/>
      </c>
      <c r="H66" s="31" t="str">
        <f t="shared" si="1"/>
        <v/>
      </c>
      <c r="I66" s="30"/>
      <c r="J66" s="23" t="s">
        <v>35</v>
      </c>
      <c r="K66" s="23" t="s">
        <v>35</v>
      </c>
      <c r="L66" s="19"/>
    </row>
    <row r="67" spans="1:12">
      <c r="A67" s="6">
        <v>63</v>
      </c>
      <c r="B67" s="7" t="s">
        <v>42</v>
      </c>
      <c r="C67" s="26">
        <v>0.28000000000000003</v>
      </c>
      <c r="D67" s="26">
        <v>0.15</v>
      </c>
      <c r="E67" s="7" t="s">
        <v>10</v>
      </c>
      <c r="F67" s="30"/>
      <c r="G67" s="31" t="str">
        <f>IF('Referensi Manual'!C7="","",'Referensi Manual'!C7)</f>
        <v/>
      </c>
      <c r="H67" s="31" t="str">
        <f t="shared" si="1"/>
        <v/>
      </c>
      <c r="I67" s="30"/>
      <c r="J67" s="23" t="s">
        <v>35</v>
      </c>
      <c r="K67" s="23" t="s">
        <v>35</v>
      </c>
      <c r="L67" s="19"/>
    </row>
    <row r="68" spans="1:12">
      <c r="A68" s="6">
        <v>64</v>
      </c>
      <c r="B68" s="7" t="s">
        <v>42</v>
      </c>
      <c r="C68" s="26">
        <v>0.28000000000000003</v>
      </c>
      <c r="D68" s="26">
        <v>0.15</v>
      </c>
      <c r="E68" s="7" t="s">
        <v>11</v>
      </c>
      <c r="F68" s="30"/>
      <c r="G68" s="31" t="str">
        <f>IF('Referensi Manual'!C8="","",'Referensi Manual'!C8)</f>
        <v/>
      </c>
      <c r="H68" s="31" t="str">
        <f t="shared" si="1"/>
        <v/>
      </c>
      <c r="I68" s="30"/>
      <c r="J68" s="23" t="s">
        <v>35</v>
      </c>
      <c r="K68" s="23" t="s">
        <v>35</v>
      </c>
      <c r="L68" s="19"/>
    </row>
    <row r="69" spans="1:12">
      <c r="A69" s="6">
        <v>65</v>
      </c>
      <c r="B69" s="7" t="s">
        <v>42</v>
      </c>
      <c r="C69" s="26">
        <v>0.28000000000000003</v>
      </c>
      <c r="D69" s="26">
        <v>0.15</v>
      </c>
      <c r="E69" s="7" t="s">
        <v>12</v>
      </c>
      <c r="F69" s="30"/>
      <c r="G69" s="31" t="str">
        <f>IF('Referensi Manual'!C9="","",'Referensi Manual'!C9)</f>
        <v/>
      </c>
      <c r="H69" s="31" t="str">
        <f t="shared" ref="H69:H100" si="2">IF(OR(F69="",G69=""),"",ABS(F69-G69))</f>
        <v/>
      </c>
      <c r="I69" s="30"/>
      <c r="J69" s="23" t="s">
        <v>35</v>
      </c>
      <c r="K69" s="23" t="s">
        <v>35</v>
      </c>
      <c r="L69" s="19"/>
    </row>
    <row r="70" spans="1:12">
      <c r="A70" s="6">
        <v>66</v>
      </c>
      <c r="B70" s="7" t="s">
        <v>42</v>
      </c>
      <c r="C70" s="26">
        <v>0.28000000000000003</v>
      </c>
      <c r="D70" s="26">
        <v>0.15</v>
      </c>
      <c r="E70" s="7" t="s">
        <v>13</v>
      </c>
      <c r="F70" s="30"/>
      <c r="G70" s="31" t="str">
        <f>IF('Referensi Manual'!C10="","",'Referensi Manual'!C10)</f>
        <v/>
      </c>
      <c r="H70" s="31" t="str">
        <f t="shared" si="2"/>
        <v/>
      </c>
      <c r="I70" s="30"/>
      <c r="J70" s="23" t="s">
        <v>35</v>
      </c>
      <c r="K70" s="23" t="s">
        <v>35</v>
      </c>
      <c r="L70" s="19"/>
    </row>
    <row r="71" spans="1:12">
      <c r="A71" s="6">
        <v>67</v>
      </c>
      <c r="B71" s="7" t="s">
        <v>42</v>
      </c>
      <c r="C71" s="26">
        <v>0.28000000000000003</v>
      </c>
      <c r="D71" s="26">
        <v>0.15</v>
      </c>
      <c r="E71" s="7" t="s">
        <v>14</v>
      </c>
      <c r="F71" s="30"/>
      <c r="G71" s="31" t="str">
        <f>IF('Referensi Manual'!C11="","",'Referensi Manual'!C11)</f>
        <v/>
      </c>
      <c r="H71" s="31" t="str">
        <f t="shared" si="2"/>
        <v/>
      </c>
      <c r="I71" s="30"/>
      <c r="J71" s="23" t="s">
        <v>35</v>
      </c>
      <c r="K71" s="23" t="s">
        <v>35</v>
      </c>
      <c r="L71" s="19"/>
    </row>
    <row r="72" spans="1:12">
      <c r="A72" s="6">
        <v>68</v>
      </c>
      <c r="B72" s="7" t="s">
        <v>42</v>
      </c>
      <c r="C72" s="26">
        <v>0.28000000000000003</v>
      </c>
      <c r="D72" s="26">
        <v>0.15</v>
      </c>
      <c r="E72" s="7" t="s">
        <v>15</v>
      </c>
      <c r="F72" s="30"/>
      <c r="G72" s="31" t="str">
        <f>IF('Referensi Manual'!C12="","",'Referensi Manual'!C12)</f>
        <v/>
      </c>
      <c r="H72" s="31" t="str">
        <f t="shared" si="2"/>
        <v/>
      </c>
      <c r="I72" s="30"/>
      <c r="J72" s="23" t="s">
        <v>35</v>
      </c>
      <c r="K72" s="23" t="s">
        <v>35</v>
      </c>
      <c r="L72" s="19"/>
    </row>
    <row r="73" spans="1:12">
      <c r="A73" s="6">
        <v>69</v>
      </c>
      <c r="B73" s="7" t="s">
        <v>42</v>
      </c>
      <c r="C73" s="26">
        <v>0.28000000000000003</v>
      </c>
      <c r="D73" s="26">
        <v>0.15</v>
      </c>
      <c r="E73" s="7" t="s">
        <v>16</v>
      </c>
      <c r="F73" s="30"/>
      <c r="G73" s="31" t="str">
        <f>IF('Referensi Manual'!C13="","",'Referensi Manual'!C13)</f>
        <v/>
      </c>
      <c r="H73" s="31" t="str">
        <f t="shared" si="2"/>
        <v/>
      </c>
      <c r="I73" s="30"/>
      <c r="J73" s="23" t="s">
        <v>35</v>
      </c>
      <c r="K73" s="23" t="s">
        <v>35</v>
      </c>
      <c r="L73" s="19"/>
    </row>
    <row r="74" spans="1:12">
      <c r="A74" s="6">
        <v>70</v>
      </c>
      <c r="B74" s="7" t="s">
        <v>42</v>
      </c>
      <c r="C74" s="26">
        <v>0.28000000000000003</v>
      </c>
      <c r="D74" s="26">
        <v>0.15</v>
      </c>
      <c r="E74" s="7" t="s">
        <v>17</v>
      </c>
      <c r="F74" s="30"/>
      <c r="G74" s="31" t="str">
        <f>IF('Referensi Manual'!C14="","",'Referensi Manual'!C14)</f>
        <v/>
      </c>
      <c r="H74" s="31" t="str">
        <f t="shared" si="2"/>
        <v/>
      </c>
      <c r="I74" s="30"/>
      <c r="J74" s="23" t="s">
        <v>35</v>
      </c>
      <c r="K74" s="23" t="s">
        <v>35</v>
      </c>
      <c r="L74" s="19"/>
    </row>
    <row r="75" spans="1:12">
      <c r="A75" s="6">
        <v>71</v>
      </c>
      <c r="B75" s="7" t="s">
        <v>42</v>
      </c>
      <c r="C75" s="26">
        <v>0.28000000000000003</v>
      </c>
      <c r="D75" s="26">
        <v>0.15</v>
      </c>
      <c r="E75" s="7" t="s">
        <v>18</v>
      </c>
      <c r="F75" s="30"/>
      <c r="G75" s="31" t="str">
        <f>IF('Referensi Manual'!C15="","",'Referensi Manual'!C15)</f>
        <v/>
      </c>
      <c r="H75" s="31" t="str">
        <f t="shared" si="2"/>
        <v/>
      </c>
      <c r="I75" s="30"/>
      <c r="J75" s="23" t="s">
        <v>35</v>
      </c>
      <c r="K75" s="23" t="s">
        <v>35</v>
      </c>
      <c r="L75" s="19"/>
    </row>
    <row r="76" spans="1:12">
      <c r="A76" s="6">
        <v>72</v>
      </c>
      <c r="B76" s="7" t="s">
        <v>42</v>
      </c>
      <c r="C76" s="26">
        <v>0.28000000000000003</v>
      </c>
      <c r="D76" s="26">
        <v>0.15</v>
      </c>
      <c r="E76" s="7" t="s">
        <v>19</v>
      </c>
      <c r="F76" s="30"/>
      <c r="G76" s="31" t="str">
        <f>IF('Referensi Manual'!C16="","",'Referensi Manual'!C16)</f>
        <v/>
      </c>
      <c r="H76" s="31" t="str">
        <f t="shared" si="2"/>
        <v/>
      </c>
      <c r="I76" s="30"/>
      <c r="J76" s="23" t="s">
        <v>35</v>
      </c>
      <c r="K76" s="23" t="s">
        <v>35</v>
      </c>
      <c r="L76" s="19"/>
    </row>
    <row r="77" spans="1:12">
      <c r="A77" s="6">
        <v>73</v>
      </c>
      <c r="B77" s="7" t="s">
        <v>42</v>
      </c>
      <c r="C77" s="26">
        <v>0.28000000000000003</v>
      </c>
      <c r="D77" s="26">
        <v>0.15</v>
      </c>
      <c r="E77" s="7" t="s">
        <v>20</v>
      </c>
      <c r="F77" s="30"/>
      <c r="G77" s="31" t="str">
        <f>IF('Referensi Manual'!C17="","",'Referensi Manual'!C17)</f>
        <v/>
      </c>
      <c r="H77" s="31" t="str">
        <f t="shared" si="2"/>
        <v/>
      </c>
      <c r="I77" s="30"/>
      <c r="J77" s="23" t="s">
        <v>35</v>
      </c>
      <c r="K77" s="23" t="s">
        <v>35</v>
      </c>
      <c r="L77" s="19"/>
    </row>
    <row r="78" spans="1:12">
      <c r="A78" s="6">
        <v>74</v>
      </c>
      <c r="B78" s="7" t="s">
        <v>42</v>
      </c>
      <c r="C78" s="26">
        <v>0.28000000000000003</v>
      </c>
      <c r="D78" s="26">
        <v>0.15</v>
      </c>
      <c r="E78" s="7" t="s">
        <v>21</v>
      </c>
      <c r="F78" s="30"/>
      <c r="G78" s="31" t="str">
        <f>IF('Referensi Manual'!C18="","",'Referensi Manual'!C18)</f>
        <v/>
      </c>
      <c r="H78" s="31" t="str">
        <f t="shared" si="2"/>
        <v/>
      </c>
      <c r="I78" s="30"/>
      <c r="J78" s="23" t="s">
        <v>35</v>
      </c>
      <c r="K78" s="23" t="s">
        <v>35</v>
      </c>
      <c r="L78" s="19"/>
    </row>
    <row r="79" spans="1:12">
      <c r="A79" s="6">
        <v>75</v>
      </c>
      <c r="B79" s="7" t="s">
        <v>42</v>
      </c>
      <c r="C79" s="26">
        <v>0.28000000000000003</v>
      </c>
      <c r="D79" s="26">
        <v>0.15</v>
      </c>
      <c r="E79" s="7" t="s">
        <v>22</v>
      </c>
      <c r="F79" s="30"/>
      <c r="G79" s="31" t="str">
        <f>IF('Referensi Manual'!C19="","",'Referensi Manual'!C19)</f>
        <v/>
      </c>
      <c r="H79" s="31" t="str">
        <f t="shared" si="2"/>
        <v/>
      </c>
      <c r="I79" s="30"/>
      <c r="J79" s="23" t="s">
        <v>35</v>
      </c>
      <c r="K79" s="23" t="s">
        <v>35</v>
      </c>
      <c r="L79" s="19"/>
    </row>
    <row r="80" spans="1:12">
      <c r="A80" s="6">
        <v>76</v>
      </c>
      <c r="B80" s="7" t="s">
        <v>43</v>
      </c>
      <c r="C80" s="26">
        <v>0.28000000000000003</v>
      </c>
      <c r="D80" s="26">
        <v>0.2</v>
      </c>
      <c r="E80" s="7" t="s">
        <v>7</v>
      </c>
      <c r="F80" s="30"/>
      <c r="G80" s="31" t="str">
        <f>IF('Referensi Manual'!C5="","",'Referensi Manual'!C5)</f>
        <v/>
      </c>
      <c r="H80" s="31" t="str">
        <f t="shared" si="2"/>
        <v/>
      </c>
      <c r="I80" s="30"/>
      <c r="J80" s="23" t="s">
        <v>35</v>
      </c>
      <c r="K80" s="23" t="s">
        <v>35</v>
      </c>
      <c r="L80" s="19"/>
    </row>
    <row r="81" spans="1:12">
      <c r="A81" s="6">
        <v>77</v>
      </c>
      <c r="B81" s="7" t="s">
        <v>43</v>
      </c>
      <c r="C81" s="26">
        <v>0.28000000000000003</v>
      </c>
      <c r="D81" s="26">
        <v>0.2</v>
      </c>
      <c r="E81" s="7" t="s">
        <v>9</v>
      </c>
      <c r="F81" s="30"/>
      <c r="G81" s="31" t="str">
        <f>IF('Referensi Manual'!C6="","",'Referensi Manual'!C6)</f>
        <v/>
      </c>
      <c r="H81" s="31" t="str">
        <f t="shared" si="2"/>
        <v/>
      </c>
      <c r="I81" s="30"/>
      <c r="J81" s="23" t="s">
        <v>35</v>
      </c>
      <c r="K81" s="23" t="s">
        <v>35</v>
      </c>
      <c r="L81" s="19"/>
    </row>
    <row r="82" spans="1:12">
      <c r="A82" s="6">
        <v>78</v>
      </c>
      <c r="B82" s="7" t="s">
        <v>43</v>
      </c>
      <c r="C82" s="26">
        <v>0.28000000000000003</v>
      </c>
      <c r="D82" s="26">
        <v>0.2</v>
      </c>
      <c r="E82" s="7" t="s">
        <v>10</v>
      </c>
      <c r="F82" s="30"/>
      <c r="G82" s="31" t="str">
        <f>IF('Referensi Manual'!C7="","",'Referensi Manual'!C7)</f>
        <v/>
      </c>
      <c r="H82" s="31" t="str">
        <f t="shared" si="2"/>
        <v/>
      </c>
      <c r="I82" s="30"/>
      <c r="J82" s="23" t="s">
        <v>35</v>
      </c>
      <c r="K82" s="23" t="s">
        <v>35</v>
      </c>
      <c r="L82" s="19"/>
    </row>
    <row r="83" spans="1:12">
      <c r="A83" s="6">
        <v>79</v>
      </c>
      <c r="B83" s="7" t="s">
        <v>43</v>
      </c>
      <c r="C83" s="26">
        <v>0.28000000000000003</v>
      </c>
      <c r="D83" s="26">
        <v>0.2</v>
      </c>
      <c r="E83" s="7" t="s">
        <v>11</v>
      </c>
      <c r="F83" s="30"/>
      <c r="G83" s="31" t="str">
        <f>IF('Referensi Manual'!C8="","",'Referensi Manual'!C8)</f>
        <v/>
      </c>
      <c r="H83" s="31" t="str">
        <f t="shared" si="2"/>
        <v/>
      </c>
      <c r="I83" s="30"/>
      <c r="J83" s="23" t="s">
        <v>35</v>
      </c>
      <c r="K83" s="23" t="s">
        <v>35</v>
      </c>
      <c r="L83" s="19"/>
    </row>
    <row r="84" spans="1:12">
      <c r="A84" s="6">
        <v>80</v>
      </c>
      <c r="B84" s="7" t="s">
        <v>43</v>
      </c>
      <c r="C84" s="26">
        <v>0.28000000000000003</v>
      </c>
      <c r="D84" s="26">
        <v>0.2</v>
      </c>
      <c r="E84" s="7" t="s">
        <v>12</v>
      </c>
      <c r="F84" s="30"/>
      <c r="G84" s="31" t="str">
        <f>IF('Referensi Manual'!C9="","",'Referensi Manual'!C9)</f>
        <v/>
      </c>
      <c r="H84" s="31" t="str">
        <f t="shared" si="2"/>
        <v/>
      </c>
      <c r="I84" s="30"/>
      <c r="J84" s="23" t="s">
        <v>35</v>
      </c>
      <c r="K84" s="23" t="s">
        <v>35</v>
      </c>
      <c r="L84" s="19"/>
    </row>
    <row r="85" spans="1:12">
      <c r="A85" s="6">
        <v>81</v>
      </c>
      <c r="B85" s="7" t="s">
        <v>43</v>
      </c>
      <c r="C85" s="26">
        <v>0.28000000000000003</v>
      </c>
      <c r="D85" s="26">
        <v>0.2</v>
      </c>
      <c r="E85" s="7" t="s">
        <v>13</v>
      </c>
      <c r="F85" s="30"/>
      <c r="G85" s="31" t="str">
        <f>IF('Referensi Manual'!C10="","",'Referensi Manual'!C10)</f>
        <v/>
      </c>
      <c r="H85" s="31" t="str">
        <f t="shared" si="2"/>
        <v/>
      </c>
      <c r="I85" s="30"/>
      <c r="J85" s="23" t="s">
        <v>35</v>
      </c>
      <c r="K85" s="23" t="s">
        <v>35</v>
      </c>
      <c r="L85" s="19"/>
    </row>
    <row r="86" spans="1:12">
      <c r="A86" s="6">
        <v>82</v>
      </c>
      <c r="B86" s="7" t="s">
        <v>43</v>
      </c>
      <c r="C86" s="26">
        <v>0.28000000000000003</v>
      </c>
      <c r="D86" s="26">
        <v>0.2</v>
      </c>
      <c r="E86" s="7" t="s">
        <v>14</v>
      </c>
      <c r="F86" s="30"/>
      <c r="G86" s="31" t="str">
        <f>IF('Referensi Manual'!C11="","",'Referensi Manual'!C11)</f>
        <v/>
      </c>
      <c r="H86" s="31" t="str">
        <f t="shared" si="2"/>
        <v/>
      </c>
      <c r="I86" s="30"/>
      <c r="J86" s="23" t="s">
        <v>35</v>
      </c>
      <c r="K86" s="23" t="s">
        <v>35</v>
      </c>
      <c r="L86" s="19"/>
    </row>
    <row r="87" spans="1:12">
      <c r="A87" s="6">
        <v>83</v>
      </c>
      <c r="B87" s="7" t="s">
        <v>43</v>
      </c>
      <c r="C87" s="26">
        <v>0.28000000000000003</v>
      </c>
      <c r="D87" s="26">
        <v>0.2</v>
      </c>
      <c r="E87" s="7" t="s">
        <v>15</v>
      </c>
      <c r="F87" s="30"/>
      <c r="G87" s="31" t="str">
        <f>IF('Referensi Manual'!C12="","",'Referensi Manual'!C12)</f>
        <v/>
      </c>
      <c r="H87" s="31" t="str">
        <f t="shared" si="2"/>
        <v/>
      </c>
      <c r="I87" s="30"/>
      <c r="J87" s="23" t="s">
        <v>35</v>
      </c>
      <c r="K87" s="23" t="s">
        <v>35</v>
      </c>
      <c r="L87" s="19"/>
    </row>
    <row r="88" spans="1:12">
      <c r="A88" s="6">
        <v>84</v>
      </c>
      <c r="B88" s="7" t="s">
        <v>43</v>
      </c>
      <c r="C88" s="26">
        <v>0.28000000000000003</v>
      </c>
      <c r="D88" s="26">
        <v>0.2</v>
      </c>
      <c r="E88" s="7" t="s">
        <v>16</v>
      </c>
      <c r="F88" s="30"/>
      <c r="G88" s="31" t="str">
        <f>IF('Referensi Manual'!C13="","",'Referensi Manual'!C13)</f>
        <v/>
      </c>
      <c r="H88" s="31" t="str">
        <f t="shared" si="2"/>
        <v/>
      </c>
      <c r="I88" s="30"/>
      <c r="J88" s="23" t="s">
        <v>35</v>
      </c>
      <c r="K88" s="23" t="s">
        <v>35</v>
      </c>
      <c r="L88" s="19"/>
    </row>
    <row r="89" spans="1:12">
      <c r="A89" s="6">
        <v>85</v>
      </c>
      <c r="B89" s="7" t="s">
        <v>43</v>
      </c>
      <c r="C89" s="26">
        <v>0.28000000000000003</v>
      </c>
      <c r="D89" s="26">
        <v>0.2</v>
      </c>
      <c r="E89" s="7" t="s">
        <v>17</v>
      </c>
      <c r="F89" s="30"/>
      <c r="G89" s="31" t="str">
        <f>IF('Referensi Manual'!C14="","",'Referensi Manual'!C14)</f>
        <v/>
      </c>
      <c r="H89" s="31" t="str">
        <f t="shared" si="2"/>
        <v/>
      </c>
      <c r="I89" s="30"/>
      <c r="J89" s="23" t="s">
        <v>35</v>
      </c>
      <c r="K89" s="23" t="s">
        <v>35</v>
      </c>
      <c r="L89" s="19"/>
    </row>
    <row r="90" spans="1:12">
      <c r="A90" s="6">
        <v>86</v>
      </c>
      <c r="B90" s="7" t="s">
        <v>43</v>
      </c>
      <c r="C90" s="26">
        <v>0.28000000000000003</v>
      </c>
      <c r="D90" s="26">
        <v>0.2</v>
      </c>
      <c r="E90" s="7" t="s">
        <v>18</v>
      </c>
      <c r="F90" s="30"/>
      <c r="G90" s="31" t="str">
        <f>IF('Referensi Manual'!C15="","",'Referensi Manual'!C15)</f>
        <v/>
      </c>
      <c r="H90" s="31" t="str">
        <f t="shared" si="2"/>
        <v/>
      </c>
      <c r="I90" s="30"/>
      <c r="J90" s="23" t="s">
        <v>35</v>
      </c>
      <c r="K90" s="23" t="s">
        <v>35</v>
      </c>
      <c r="L90" s="19"/>
    </row>
    <row r="91" spans="1:12">
      <c r="A91" s="6">
        <v>87</v>
      </c>
      <c r="B91" s="7" t="s">
        <v>43</v>
      </c>
      <c r="C91" s="26">
        <v>0.28000000000000003</v>
      </c>
      <c r="D91" s="26">
        <v>0.2</v>
      </c>
      <c r="E91" s="7" t="s">
        <v>19</v>
      </c>
      <c r="F91" s="30"/>
      <c r="G91" s="31" t="str">
        <f>IF('Referensi Manual'!C16="","",'Referensi Manual'!C16)</f>
        <v/>
      </c>
      <c r="H91" s="31" t="str">
        <f t="shared" si="2"/>
        <v/>
      </c>
      <c r="I91" s="30"/>
      <c r="J91" s="23" t="s">
        <v>35</v>
      </c>
      <c r="K91" s="23" t="s">
        <v>35</v>
      </c>
      <c r="L91" s="19"/>
    </row>
    <row r="92" spans="1:12">
      <c r="A92" s="6">
        <v>88</v>
      </c>
      <c r="B92" s="7" t="s">
        <v>43</v>
      </c>
      <c r="C92" s="26">
        <v>0.28000000000000003</v>
      </c>
      <c r="D92" s="26">
        <v>0.2</v>
      </c>
      <c r="E92" s="7" t="s">
        <v>20</v>
      </c>
      <c r="F92" s="30"/>
      <c r="G92" s="31" t="str">
        <f>IF('Referensi Manual'!C17="","",'Referensi Manual'!C17)</f>
        <v/>
      </c>
      <c r="H92" s="31" t="str">
        <f t="shared" si="2"/>
        <v/>
      </c>
      <c r="I92" s="30"/>
      <c r="J92" s="23" t="s">
        <v>35</v>
      </c>
      <c r="K92" s="23" t="s">
        <v>35</v>
      </c>
      <c r="L92" s="19"/>
    </row>
    <row r="93" spans="1:12">
      <c r="A93" s="6">
        <v>89</v>
      </c>
      <c r="B93" s="7" t="s">
        <v>43</v>
      </c>
      <c r="C93" s="26">
        <v>0.28000000000000003</v>
      </c>
      <c r="D93" s="26">
        <v>0.2</v>
      </c>
      <c r="E93" s="7" t="s">
        <v>21</v>
      </c>
      <c r="F93" s="30"/>
      <c r="G93" s="31" t="str">
        <f>IF('Referensi Manual'!C18="","",'Referensi Manual'!C18)</f>
        <v/>
      </c>
      <c r="H93" s="31" t="str">
        <f t="shared" si="2"/>
        <v/>
      </c>
      <c r="I93" s="30"/>
      <c r="J93" s="23" t="s">
        <v>35</v>
      </c>
      <c r="K93" s="23" t="s">
        <v>35</v>
      </c>
      <c r="L93" s="19"/>
    </row>
    <row r="94" spans="1:12">
      <c r="A94" s="6">
        <v>90</v>
      </c>
      <c r="B94" s="7" t="s">
        <v>43</v>
      </c>
      <c r="C94" s="26">
        <v>0.28000000000000003</v>
      </c>
      <c r="D94" s="26">
        <v>0.2</v>
      </c>
      <c r="E94" s="7" t="s">
        <v>22</v>
      </c>
      <c r="F94" s="30"/>
      <c r="G94" s="31" t="str">
        <f>IF('Referensi Manual'!C19="","",'Referensi Manual'!C19)</f>
        <v/>
      </c>
      <c r="H94" s="31" t="str">
        <f t="shared" si="2"/>
        <v/>
      </c>
      <c r="I94" s="30"/>
      <c r="J94" s="23" t="s">
        <v>35</v>
      </c>
      <c r="K94" s="23" t="s">
        <v>35</v>
      </c>
      <c r="L94" s="19"/>
    </row>
    <row r="95" spans="1:12">
      <c r="A95" s="6">
        <v>91</v>
      </c>
      <c r="B95" s="7" t="s">
        <v>44</v>
      </c>
      <c r="C95" s="26">
        <v>0.35</v>
      </c>
      <c r="D95" s="26">
        <v>0.1</v>
      </c>
      <c r="E95" s="7" t="s">
        <v>7</v>
      </c>
      <c r="F95" s="30"/>
      <c r="G95" s="31" t="str">
        <f>IF('Referensi Manual'!C5="","",'Referensi Manual'!C5)</f>
        <v/>
      </c>
      <c r="H95" s="31" t="str">
        <f t="shared" si="2"/>
        <v/>
      </c>
      <c r="I95" s="30"/>
      <c r="J95" s="23" t="s">
        <v>35</v>
      </c>
      <c r="K95" s="23" t="s">
        <v>35</v>
      </c>
      <c r="L95" s="19"/>
    </row>
    <row r="96" spans="1:12">
      <c r="A96" s="6">
        <v>92</v>
      </c>
      <c r="B96" s="7" t="s">
        <v>44</v>
      </c>
      <c r="C96" s="26">
        <v>0.35</v>
      </c>
      <c r="D96" s="26">
        <v>0.1</v>
      </c>
      <c r="E96" s="7" t="s">
        <v>9</v>
      </c>
      <c r="F96" s="30"/>
      <c r="G96" s="31" t="str">
        <f>IF('Referensi Manual'!C6="","",'Referensi Manual'!C6)</f>
        <v/>
      </c>
      <c r="H96" s="31" t="str">
        <f t="shared" si="2"/>
        <v/>
      </c>
      <c r="I96" s="30"/>
      <c r="J96" s="23" t="s">
        <v>35</v>
      </c>
      <c r="K96" s="23" t="s">
        <v>35</v>
      </c>
      <c r="L96" s="19"/>
    </row>
    <row r="97" spans="1:12">
      <c r="A97" s="6">
        <v>93</v>
      </c>
      <c r="B97" s="7" t="s">
        <v>44</v>
      </c>
      <c r="C97" s="26">
        <v>0.35</v>
      </c>
      <c r="D97" s="26">
        <v>0.1</v>
      </c>
      <c r="E97" s="7" t="s">
        <v>10</v>
      </c>
      <c r="F97" s="30"/>
      <c r="G97" s="31" t="str">
        <f>IF('Referensi Manual'!C7="","",'Referensi Manual'!C7)</f>
        <v/>
      </c>
      <c r="H97" s="31" t="str">
        <f t="shared" si="2"/>
        <v/>
      </c>
      <c r="I97" s="30"/>
      <c r="J97" s="23" t="s">
        <v>35</v>
      </c>
      <c r="K97" s="23" t="s">
        <v>35</v>
      </c>
      <c r="L97" s="19"/>
    </row>
    <row r="98" spans="1:12">
      <c r="A98" s="6">
        <v>94</v>
      </c>
      <c r="B98" s="7" t="s">
        <v>44</v>
      </c>
      <c r="C98" s="26">
        <v>0.35</v>
      </c>
      <c r="D98" s="26">
        <v>0.1</v>
      </c>
      <c r="E98" s="7" t="s">
        <v>11</v>
      </c>
      <c r="F98" s="30"/>
      <c r="G98" s="31" t="str">
        <f>IF('Referensi Manual'!C8="","",'Referensi Manual'!C8)</f>
        <v/>
      </c>
      <c r="H98" s="31" t="str">
        <f t="shared" si="2"/>
        <v/>
      </c>
      <c r="I98" s="30"/>
      <c r="J98" s="23" t="s">
        <v>35</v>
      </c>
      <c r="K98" s="23" t="s">
        <v>35</v>
      </c>
      <c r="L98" s="19"/>
    </row>
    <row r="99" spans="1:12">
      <c r="A99" s="6">
        <v>95</v>
      </c>
      <c r="B99" s="7" t="s">
        <v>44</v>
      </c>
      <c r="C99" s="26">
        <v>0.35</v>
      </c>
      <c r="D99" s="26">
        <v>0.1</v>
      </c>
      <c r="E99" s="7" t="s">
        <v>12</v>
      </c>
      <c r="F99" s="30"/>
      <c r="G99" s="31" t="str">
        <f>IF('Referensi Manual'!C9="","",'Referensi Manual'!C9)</f>
        <v/>
      </c>
      <c r="H99" s="31" t="str">
        <f t="shared" si="2"/>
        <v/>
      </c>
      <c r="I99" s="30"/>
      <c r="J99" s="23" t="s">
        <v>35</v>
      </c>
      <c r="K99" s="23" t="s">
        <v>35</v>
      </c>
      <c r="L99" s="19"/>
    </row>
    <row r="100" spans="1:12">
      <c r="A100" s="6">
        <v>96</v>
      </c>
      <c r="B100" s="7" t="s">
        <v>44</v>
      </c>
      <c r="C100" s="26">
        <v>0.35</v>
      </c>
      <c r="D100" s="26">
        <v>0.1</v>
      </c>
      <c r="E100" s="7" t="s">
        <v>13</v>
      </c>
      <c r="F100" s="30"/>
      <c r="G100" s="31" t="str">
        <f>IF('Referensi Manual'!C10="","",'Referensi Manual'!C10)</f>
        <v/>
      </c>
      <c r="H100" s="31" t="str">
        <f t="shared" si="2"/>
        <v/>
      </c>
      <c r="I100" s="30"/>
      <c r="J100" s="23" t="s">
        <v>35</v>
      </c>
      <c r="K100" s="23" t="s">
        <v>35</v>
      </c>
      <c r="L100" s="19"/>
    </row>
    <row r="101" spans="1:12">
      <c r="A101" s="6">
        <v>97</v>
      </c>
      <c r="B101" s="7" t="s">
        <v>44</v>
      </c>
      <c r="C101" s="26">
        <v>0.35</v>
      </c>
      <c r="D101" s="26">
        <v>0.1</v>
      </c>
      <c r="E101" s="7" t="s">
        <v>14</v>
      </c>
      <c r="F101" s="30"/>
      <c r="G101" s="31" t="str">
        <f>IF('Referensi Manual'!C11="","",'Referensi Manual'!C11)</f>
        <v/>
      </c>
      <c r="H101" s="31" t="str">
        <f t="shared" ref="H101:H132" si="3">IF(OR(F101="",G101=""),"",ABS(F101-G101))</f>
        <v/>
      </c>
      <c r="I101" s="30"/>
      <c r="J101" s="23" t="s">
        <v>35</v>
      </c>
      <c r="K101" s="23" t="s">
        <v>35</v>
      </c>
      <c r="L101" s="19"/>
    </row>
    <row r="102" spans="1:12">
      <c r="A102" s="6">
        <v>98</v>
      </c>
      <c r="B102" s="7" t="s">
        <v>44</v>
      </c>
      <c r="C102" s="26">
        <v>0.35</v>
      </c>
      <c r="D102" s="26">
        <v>0.1</v>
      </c>
      <c r="E102" s="7" t="s">
        <v>15</v>
      </c>
      <c r="F102" s="30"/>
      <c r="G102" s="31" t="str">
        <f>IF('Referensi Manual'!C12="","",'Referensi Manual'!C12)</f>
        <v/>
      </c>
      <c r="H102" s="31" t="str">
        <f t="shared" si="3"/>
        <v/>
      </c>
      <c r="I102" s="30"/>
      <c r="J102" s="23" t="s">
        <v>35</v>
      </c>
      <c r="K102" s="23" t="s">
        <v>35</v>
      </c>
      <c r="L102" s="19"/>
    </row>
    <row r="103" spans="1:12">
      <c r="A103" s="6">
        <v>99</v>
      </c>
      <c r="B103" s="7" t="s">
        <v>44</v>
      </c>
      <c r="C103" s="26">
        <v>0.35</v>
      </c>
      <c r="D103" s="26">
        <v>0.1</v>
      </c>
      <c r="E103" s="7" t="s">
        <v>16</v>
      </c>
      <c r="F103" s="30"/>
      <c r="G103" s="31" t="str">
        <f>IF('Referensi Manual'!C13="","",'Referensi Manual'!C13)</f>
        <v/>
      </c>
      <c r="H103" s="31" t="str">
        <f t="shared" si="3"/>
        <v/>
      </c>
      <c r="I103" s="30"/>
      <c r="J103" s="23" t="s">
        <v>35</v>
      </c>
      <c r="K103" s="23" t="s">
        <v>35</v>
      </c>
      <c r="L103" s="19"/>
    </row>
    <row r="104" spans="1:12">
      <c r="A104" s="6">
        <v>100</v>
      </c>
      <c r="B104" s="7" t="s">
        <v>44</v>
      </c>
      <c r="C104" s="26">
        <v>0.35</v>
      </c>
      <c r="D104" s="26">
        <v>0.1</v>
      </c>
      <c r="E104" s="7" t="s">
        <v>17</v>
      </c>
      <c r="F104" s="30"/>
      <c r="G104" s="31" t="str">
        <f>IF('Referensi Manual'!C14="","",'Referensi Manual'!C14)</f>
        <v/>
      </c>
      <c r="H104" s="31" t="str">
        <f t="shared" si="3"/>
        <v/>
      </c>
      <c r="I104" s="30"/>
      <c r="J104" s="23" t="s">
        <v>35</v>
      </c>
      <c r="K104" s="23" t="s">
        <v>35</v>
      </c>
      <c r="L104" s="19"/>
    </row>
    <row r="105" spans="1:12">
      <c r="A105" s="6">
        <v>101</v>
      </c>
      <c r="B105" s="7" t="s">
        <v>44</v>
      </c>
      <c r="C105" s="26">
        <v>0.35</v>
      </c>
      <c r="D105" s="26">
        <v>0.1</v>
      </c>
      <c r="E105" s="7" t="s">
        <v>18</v>
      </c>
      <c r="F105" s="30"/>
      <c r="G105" s="31" t="str">
        <f>IF('Referensi Manual'!C15="","",'Referensi Manual'!C15)</f>
        <v/>
      </c>
      <c r="H105" s="31" t="str">
        <f t="shared" si="3"/>
        <v/>
      </c>
      <c r="I105" s="30"/>
      <c r="J105" s="23" t="s">
        <v>35</v>
      </c>
      <c r="K105" s="23" t="s">
        <v>35</v>
      </c>
      <c r="L105" s="19"/>
    </row>
    <row r="106" spans="1:12">
      <c r="A106" s="6">
        <v>102</v>
      </c>
      <c r="B106" s="7" t="s">
        <v>44</v>
      </c>
      <c r="C106" s="26">
        <v>0.35</v>
      </c>
      <c r="D106" s="26">
        <v>0.1</v>
      </c>
      <c r="E106" s="7" t="s">
        <v>19</v>
      </c>
      <c r="F106" s="30"/>
      <c r="G106" s="31" t="str">
        <f>IF('Referensi Manual'!C16="","",'Referensi Manual'!C16)</f>
        <v/>
      </c>
      <c r="H106" s="31" t="str">
        <f t="shared" si="3"/>
        <v/>
      </c>
      <c r="I106" s="30"/>
      <c r="J106" s="23" t="s">
        <v>35</v>
      </c>
      <c r="K106" s="23" t="s">
        <v>35</v>
      </c>
      <c r="L106" s="19"/>
    </row>
    <row r="107" spans="1:12">
      <c r="A107" s="6">
        <v>103</v>
      </c>
      <c r="B107" s="7" t="s">
        <v>44</v>
      </c>
      <c r="C107" s="26">
        <v>0.35</v>
      </c>
      <c r="D107" s="26">
        <v>0.1</v>
      </c>
      <c r="E107" s="7" t="s">
        <v>20</v>
      </c>
      <c r="F107" s="30"/>
      <c r="G107" s="31" t="str">
        <f>IF('Referensi Manual'!C17="","",'Referensi Manual'!C17)</f>
        <v/>
      </c>
      <c r="H107" s="31" t="str">
        <f t="shared" si="3"/>
        <v/>
      </c>
      <c r="I107" s="30"/>
      <c r="J107" s="23" t="s">
        <v>35</v>
      </c>
      <c r="K107" s="23" t="s">
        <v>35</v>
      </c>
      <c r="L107" s="19"/>
    </row>
    <row r="108" spans="1:12">
      <c r="A108" s="6">
        <v>104</v>
      </c>
      <c r="B108" s="7" t="s">
        <v>44</v>
      </c>
      <c r="C108" s="26">
        <v>0.35</v>
      </c>
      <c r="D108" s="26">
        <v>0.1</v>
      </c>
      <c r="E108" s="7" t="s">
        <v>21</v>
      </c>
      <c r="F108" s="30"/>
      <c r="G108" s="31" t="str">
        <f>IF('Referensi Manual'!C18="","",'Referensi Manual'!C18)</f>
        <v/>
      </c>
      <c r="H108" s="31" t="str">
        <f t="shared" si="3"/>
        <v/>
      </c>
      <c r="I108" s="30"/>
      <c r="J108" s="23" t="s">
        <v>35</v>
      </c>
      <c r="K108" s="23" t="s">
        <v>35</v>
      </c>
      <c r="L108" s="19"/>
    </row>
    <row r="109" spans="1:12">
      <c r="A109" s="6">
        <v>105</v>
      </c>
      <c r="B109" s="7" t="s">
        <v>44</v>
      </c>
      <c r="C109" s="26">
        <v>0.35</v>
      </c>
      <c r="D109" s="26">
        <v>0.1</v>
      </c>
      <c r="E109" s="7" t="s">
        <v>22</v>
      </c>
      <c r="F109" s="30"/>
      <c r="G109" s="31" t="str">
        <f>IF('Referensi Manual'!C19="","",'Referensi Manual'!C19)</f>
        <v/>
      </c>
      <c r="H109" s="31" t="str">
        <f t="shared" si="3"/>
        <v/>
      </c>
      <c r="I109" s="30"/>
      <c r="J109" s="23" t="s">
        <v>35</v>
      </c>
      <c r="K109" s="23" t="s">
        <v>35</v>
      </c>
      <c r="L109" s="19"/>
    </row>
    <row r="110" spans="1:12">
      <c r="A110" s="6">
        <v>106</v>
      </c>
      <c r="B110" s="7" t="s">
        <v>45</v>
      </c>
      <c r="C110" s="26">
        <v>0.35</v>
      </c>
      <c r="D110" s="26">
        <v>0.15</v>
      </c>
      <c r="E110" s="7" t="s">
        <v>7</v>
      </c>
      <c r="F110" s="30"/>
      <c r="G110" s="31" t="str">
        <f>IF('Referensi Manual'!C5="","",'Referensi Manual'!C5)</f>
        <v/>
      </c>
      <c r="H110" s="31" t="str">
        <f t="shared" si="3"/>
        <v/>
      </c>
      <c r="I110" s="30"/>
      <c r="J110" s="23" t="s">
        <v>35</v>
      </c>
      <c r="K110" s="23" t="s">
        <v>35</v>
      </c>
      <c r="L110" s="19"/>
    </row>
    <row r="111" spans="1:12">
      <c r="A111" s="6">
        <v>107</v>
      </c>
      <c r="B111" s="7" t="s">
        <v>45</v>
      </c>
      <c r="C111" s="26">
        <v>0.35</v>
      </c>
      <c r="D111" s="26">
        <v>0.15</v>
      </c>
      <c r="E111" s="7" t="s">
        <v>9</v>
      </c>
      <c r="F111" s="30"/>
      <c r="G111" s="31" t="str">
        <f>IF('Referensi Manual'!C6="","",'Referensi Manual'!C6)</f>
        <v/>
      </c>
      <c r="H111" s="31" t="str">
        <f t="shared" si="3"/>
        <v/>
      </c>
      <c r="I111" s="30"/>
      <c r="J111" s="23" t="s">
        <v>35</v>
      </c>
      <c r="K111" s="23" t="s">
        <v>35</v>
      </c>
      <c r="L111" s="19"/>
    </row>
    <row r="112" spans="1:12">
      <c r="A112" s="6">
        <v>108</v>
      </c>
      <c r="B112" s="7" t="s">
        <v>45</v>
      </c>
      <c r="C112" s="26">
        <v>0.35</v>
      </c>
      <c r="D112" s="26">
        <v>0.15</v>
      </c>
      <c r="E112" s="7" t="s">
        <v>10</v>
      </c>
      <c r="F112" s="30"/>
      <c r="G112" s="31" t="str">
        <f>IF('Referensi Manual'!C7="","",'Referensi Manual'!C7)</f>
        <v/>
      </c>
      <c r="H112" s="31" t="str">
        <f t="shared" si="3"/>
        <v/>
      </c>
      <c r="I112" s="30"/>
      <c r="J112" s="23" t="s">
        <v>35</v>
      </c>
      <c r="K112" s="23" t="s">
        <v>35</v>
      </c>
      <c r="L112" s="19"/>
    </row>
    <row r="113" spans="1:12">
      <c r="A113" s="6">
        <v>109</v>
      </c>
      <c r="B113" s="7" t="s">
        <v>45</v>
      </c>
      <c r="C113" s="26">
        <v>0.35</v>
      </c>
      <c r="D113" s="26">
        <v>0.15</v>
      </c>
      <c r="E113" s="7" t="s">
        <v>11</v>
      </c>
      <c r="F113" s="30"/>
      <c r="G113" s="31" t="str">
        <f>IF('Referensi Manual'!C8="","",'Referensi Manual'!C8)</f>
        <v/>
      </c>
      <c r="H113" s="31" t="str">
        <f t="shared" si="3"/>
        <v/>
      </c>
      <c r="I113" s="30"/>
      <c r="J113" s="23" t="s">
        <v>35</v>
      </c>
      <c r="K113" s="23" t="s">
        <v>35</v>
      </c>
      <c r="L113" s="19"/>
    </row>
    <row r="114" spans="1:12">
      <c r="A114" s="6">
        <v>110</v>
      </c>
      <c r="B114" s="7" t="s">
        <v>45</v>
      </c>
      <c r="C114" s="26">
        <v>0.35</v>
      </c>
      <c r="D114" s="26">
        <v>0.15</v>
      </c>
      <c r="E114" s="7" t="s">
        <v>12</v>
      </c>
      <c r="F114" s="30"/>
      <c r="G114" s="31" t="str">
        <f>IF('Referensi Manual'!C9="","",'Referensi Manual'!C9)</f>
        <v/>
      </c>
      <c r="H114" s="31" t="str">
        <f t="shared" si="3"/>
        <v/>
      </c>
      <c r="I114" s="30"/>
      <c r="J114" s="23" t="s">
        <v>35</v>
      </c>
      <c r="K114" s="23" t="s">
        <v>35</v>
      </c>
      <c r="L114" s="19"/>
    </row>
    <row r="115" spans="1:12">
      <c r="A115" s="6">
        <v>111</v>
      </c>
      <c r="B115" s="7" t="s">
        <v>45</v>
      </c>
      <c r="C115" s="26">
        <v>0.35</v>
      </c>
      <c r="D115" s="26">
        <v>0.15</v>
      </c>
      <c r="E115" s="7" t="s">
        <v>13</v>
      </c>
      <c r="F115" s="30"/>
      <c r="G115" s="31" t="str">
        <f>IF('Referensi Manual'!C10="","",'Referensi Manual'!C10)</f>
        <v/>
      </c>
      <c r="H115" s="31" t="str">
        <f t="shared" si="3"/>
        <v/>
      </c>
      <c r="I115" s="30"/>
      <c r="J115" s="23" t="s">
        <v>35</v>
      </c>
      <c r="K115" s="23" t="s">
        <v>35</v>
      </c>
      <c r="L115" s="19"/>
    </row>
    <row r="116" spans="1:12">
      <c r="A116" s="6">
        <v>112</v>
      </c>
      <c r="B116" s="7" t="s">
        <v>45</v>
      </c>
      <c r="C116" s="26">
        <v>0.35</v>
      </c>
      <c r="D116" s="26">
        <v>0.15</v>
      </c>
      <c r="E116" s="7" t="s">
        <v>14</v>
      </c>
      <c r="F116" s="30"/>
      <c r="G116" s="31" t="str">
        <f>IF('Referensi Manual'!C11="","",'Referensi Manual'!C11)</f>
        <v/>
      </c>
      <c r="H116" s="31" t="str">
        <f t="shared" si="3"/>
        <v/>
      </c>
      <c r="I116" s="30"/>
      <c r="J116" s="23" t="s">
        <v>35</v>
      </c>
      <c r="K116" s="23" t="s">
        <v>35</v>
      </c>
      <c r="L116" s="19"/>
    </row>
    <row r="117" spans="1:12">
      <c r="A117" s="6">
        <v>113</v>
      </c>
      <c r="B117" s="7" t="s">
        <v>45</v>
      </c>
      <c r="C117" s="26">
        <v>0.35</v>
      </c>
      <c r="D117" s="26">
        <v>0.15</v>
      </c>
      <c r="E117" s="7" t="s">
        <v>15</v>
      </c>
      <c r="F117" s="30"/>
      <c r="G117" s="31" t="str">
        <f>IF('Referensi Manual'!C12="","",'Referensi Manual'!C12)</f>
        <v/>
      </c>
      <c r="H117" s="31" t="str">
        <f t="shared" si="3"/>
        <v/>
      </c>
      <c r="I117" s="30"/>
      <c r="J117" s="23" t="s">
        <v>35</v>
      </c>
      <c r="K117" s="23" t="s">
        <v>35</v>
      </c>
      <c r="L117" s="19"/>
    </row>
    <row r="118" spans="1:12">
      <c r="A118" s="6">
        <v>114</v>
      </c>
      <c r="B118" s="7" t="s">
        <v>45</v>
      </c>
      <c r="C118" s="26">
        <v>0.35</v>
      </c>
      <c r="D118" s="26">
        <v>0.15</v>
      </c>
      <c r="E118" s="7" t="s">
        <v>16</v>
      </c>
      <c r="F118" s="30"/>
      <c r="G118" s="31" t="str">
        <f>IF('Referensi Manual'!C13="","",'Referensi Manual'!C13)</f>
        <v/>
      </c>
      <c r="H118" s="31" t="str">
        <f t="shared" si="3"/>
        <v/>
      </c>
      <c r="I118" s="30"/>
      <c r="J118" s="23" t="s">
        <v>35</v>
      </c>
      <c r="K118" s="23" t="s">
        <v>35</v>
      </c>
      <c r="L118" s="19"/>
    </row>
    <row r="119" spans="1:12">
      <c r="A119" s="6">
        <v>115</v>
      </c>
      <c r="B119" s="7" t="s">
        <v>45</v>
      </c>
      <c r="C119" s="26">
        <v>0.35</v>
      </c>
      <c r="D119" s="26">
        <v>0.15</v>
      </c>
      <c r="E119" s="7" t="s">
        <v>17</v>
      </c>
      <c r="F119" s="30"/>
      <c r="G119" s="31" t="str">
        <f>IF('Referensi Manual'!C14="","",'Referensi Manual'!C14)</f>
        <v/>
      </c>
      <c r="H119" s="31" t="str">
        <f t="shared" si="3"/>
        <v/>
      </c>
      <c r="I119" s="30"/>
      <c r="J119" s="23" t="s">
        <v>35</v>
      </c>
      <c r="K119" s="23" t="s">
        <v>35</v>
      </c>
      <c r="L119" s="19"/>
    </row>
    <row r="120" spans="1:12">
      <c r="A120" s="6">
        <v>116</v>
      </c>
      <c r="B120" s="7" t="s">
        <v>45</v>
      </c>
      <c r="C120" s="26">
        <v>0.35</v>
      </c>
      <c r="D120" s="26">
        <v>0.15</v>
      </c>
      <c r="E120" s="7" t="s">
        <v>18</v>
      </c>
      <c r="F120" s="30"/>
      <c r="G120" s="31" t="str">
        <f>IF('Referensi Manual'!C15="","",'Referensi Manual'!C15)</f>
        <v/>
      </c>
      <c r="H120" s="31" t="str">
        <f t="shared" si="3"/>
        <v/>
      </c>
      <c r="I120" s="30"/>
      <c r="J120" s="23" t="s">
        <v>35</v>
      </c>
      <c r="K120" s="23" t="s">
        <v>35</v>
      </c>
      <c r="L120" s="19"/>
    </row>
    <row r="121" spans="1:12">
      <c r="A121" s="6">
        <v>117</v>
      </c>
      <c r="B121" s="7" t="s">
        <v>45</v>
      </c>
      <c r="C121" s="26">
        <v>0.35</v>
      </c>
      <c r="D121" s="26">
        <v>0.15</v>
      </c>
      <c r="E121" s="7" t="s">
        <v>19</v>
      </c>
      <c r="F121" s="30"/>
      <c r="G121" s="31" t="str">
        <f>IF('Referensi Manual'!C16="","",'Referensi Manual'!C16)</f>
        <v/>
      </c>
      <c r="H121" s="31" t="str">
        <f t="shared" si="3"/>
        <v/>
      </c>
      <c r="I121" s="30"/>
      <c r="J121" s="23" t="s">
        <v>35</v>
      </c>
      <c r="K121" s="23" t="s">
        <v>35</v>
      </c>
      <c r="L121" s="19"/>
    </row>
    <row r="122" spans="1:12">
      <c r="A122" s="6">
        <v>118</v>
      </c>
      <c r="B122" s="7" t="s">
        <v>45</v>
      </c>
      <c r="C122" s="26">
        <v>0.35</v>
      </c>
      <c r="D122" s="26">
        <v>0.15</v>
      </c>
      <c r="E122" s="7" t="s">
        <v>20</v>
      </c>
      <c r="F122" s="30"/>
      <c r="G122" s="31" t="str">
        <f>IF('Referensi Manual'!C17="","",'Referensi Manual'!C17)</f>
        <v/>
      </c>
      <c r="H122" s="31" t="str">
        <f t="shared" si="3"/>
        <v/>
      </c>
      <c r="I122" s="30"/>
      <c r="J122" s="23" t="s">
        <v>35</v>
      </c>
      <c r="K122" s="23" t="s">
        <v>35</v>
      </c>
      <c r="L122" s="19"/>
    </row>
    <row r="123" spans="1:12">
      <c r="A123" s="6">
        <v>119</v>
      </c>
      <c r="B123" s="7" t="s">
        <v>45</v>
      </c>
      <c r="C123" s="26">
        <v>0.35</v>
      </c>
      <c r="D123" s="26">
        <v>0.15</v>
      </c>
      <c r="E123" s="7" t="s">
        <v>21</v>
      </c>
      <c r="F123" s="30"/>
      <c r="G123" s="31" t="str">
        <f>IF('Referensi Manual'!C18="","",'Referensi Manual'!C18)</f>
        <v/>
      </c>
      <c r="H123" s="31" t="str">
        <f t="shared" si="3"/>
        <v/>
      </c>
      <c r="I123" s="30"/>
      <c r="J123" s="23" t="s">
        <v>35</v>
      </c>
      <c r="K123" s="23" t="s">
        <v>35</v>
      </c>
      <c r="L123" s="19"/>
    </row>
    <row r="124" spans="1:12">
      <c r="A124" s="6">
        <v>120</v>
      </c>
      <c r="B124" s="7" t="s">
        <v>45</v>
      </c>
      <c r="C124" s="26">
        <v>0.35</v>
      </c>
      <c r="D124" s="26">
        <v>0.15</v>
      </c>
      <c r="E124" s="7" t="s">
        <v>22</v>
      </c>
      <c r="F124" s="30"/>
      <c r="G124" s="31" t="str">
        <f>IF('Referensi Manual'!C19="","",'Referensi Manual'!C19)</f>
        <v/>
      </c>
      <c r="H124" s="31" t="str">
        <f t="shared" si="3"/>
        <v/>
      </c>
      <c r="I124" s="30"/>
      <c r="J124" s="23" t="s">
        <v>35</v>
      </c>
      <c r="K124" s="23" t="s">
        <v>35</v>
      </c>
      <c r="L124" s="19"/>
    </row>
    <row r="125" spans="1:12">
      <c r="A125" s="6">
        <v>121</v>
      </c>
      <c r="B125" s="7" t="s">
        <v>46</v>
      </c>
      <c r="C125" s="26">
        <v>0.35</v>
      </c>
      <c r="D125" s="26">
        <v>0.2</v>
      </c>
      <c r="E125" s="7" t="s">
        <v>7</v>
      </c>
      <c r="F125" s="30"/>
      <c r="G125" s="31" t="str">
        <f>IF('Referensi Manual'!C5="","",'Referensi Manual'!C5)</f>
        <v/>
      </c>
      <c r="H125" s="31" t="str">
        <f t="shared" si="3"/>
        <v/>
      </c>
      <c r="I125" s="30"/>
      <c r="J125" s="23" t="s">
        <v>35</v>
      </c>
      <c r="K125" s="23" t="s">
        <v>35</v>
      </c>
      <c r="L125" s="19"/>
    </row>
    <row r="126" spans="1:12">
      <c r="A126" s="6">
        <v>122</v>
      </c>
      <c r="B126" s="7" t="s">
        <v>46</v>
      </c>
      <c r="C126" s="26">
        <v>0.35</v>
      </c>
      <c r="D126" s="26">
        <v>0.2</v>
      </c>
      <c r="E126" s="7" t="s">
        <v>9</v>
      </c>
      <c r="F126" s="30"/>
      <c r="G126" s="31" t="str">
        <f>IF('Referensi Manual'!C6="","",'Referensi Manual'!C6)</f>
        <v/>
      </c>
      <c r="H126" s="31" t="str">
        <f t="shared" si="3"/>
        <v/>
      </c>
      <c r="I126" s="30"/>
      <c r="J126" s="23" t="s">
        <v>35</v>
      </c>
      <c r="K126" s="23" t="s">
        <v>35</v>
      </c>
      <c r="L126" s="19"/>
    </row>
    <row r="127" spans="1:12">
      <c r="A127" s="6">
        <v>123</v>
      </c>
      <c r="B127" s="7" t="s">
        <v>46</v>
      </c>
      <c r="C127" s="26">
        <v>0.35</v>
      </c>
      <c r="D127" s="26">
        <v>0.2</v>
      </c>
      <c r="E127" s="7" t="s">
        <v>10</v>
      </c>
      <c r="F127" s="30"/>
      <c r="G127" s="31" t="str">
        <f>IF('Referensi Manual'!C7="","",'Referensi Manual'!C7)</f>
        <v/>
      </c>
      <c r="H127" s="31" t="str">
        <f t="shared" si="3"/>
        <v/>
      </c>
      <c r="I127" s="30"/>
      <c r="J127" s="23" t="s">
        <v>35</v>
      </c>
      <c r="K127" s="23" t="s">
        <v>35</v>
      </c>
      <c r="L127" s="19"/>
    </row>
    <row r="128" spans="1:12">
      <c r="A128" s="6">
        <v>124</v>
      </c>
      <c r="B128" s="7" t="s">
        <v>46</v>
      </c>
      <c r="C128" s="26">
        <v>0.35</v>
      </c>
      <c r="D128" s="26">
        <v>0.2</v>
      </c>
      <c r="E128" s="7" t="s">
        <v>11</v>
      </c>
      <c r="F128" s="30"/>
      <c r="G128" s="31" t="str">
        <f>IF('Referensi Manual'!C8="","",'Referensi Manual'!C8)</f>
        <v/>
      </c>
      <c r="H128" s="31" t="str">
        <f t="shared" si="3"/>
        <v/>
      </c>
      <c r="I128" s="30"/>
      <c r="J128" s="23" t="s">
        <v>35</v>
      </c>
      <c r="K128" s="23" t="s">
        <v>35</v>
      </c>
      <c r="L128" s="19"/>
    </row>
    <row r="129" spans="1:12">
      <c r="A129" s="6">
        <v>125</v>
      </c>
      <c r="B129" s="7" t="s">
        <v>46</v>
      </c>
      <c r="C129" s="26">
        <v>0.35</v>
      </c>
      <c r="D129" s="26">
        <v>0.2</v>
      </c>
      <c r="E129" s="7" t="s">
        <v>12</v>
      </c>
      <c r="F129" s="30"/>
      <c r="G129" s="31" t="str">
        <f>IF('Referensi Manual'!C9="","",'Referensi Manual'!C9)</f>
        <v/>
      </c>
      <c r="H129" s="31" t="str">
        <f t="shared" si="3"/>
        <v/>
      </c>
      <c r="I129" s="30"/>
      <c r="J129" s="23" t="s">
        <v>35</v>
      </c>
      <c r="K129" s="23" t="s">
        <v>35</v>
      </c>
      <c r="L129" s="19"/>
    </row>
    <row r="130" spans="1:12">
      <c r="A130" s="6">
        <v>126</v>
      </c>
      <c r="B130" s="7" t="s">
        <v>46</v>
      </c>
      <c r="C130" s="26">
        <v>0.35</v>
      </c>
      <c r="D130" s="26">
        <v>0.2</v>
      </c>
      <c r="E130" s="7" t="s">
        <v>13</v>
      </c>
      <c r="F130" s="30"/>
      <c r="G130" s="31" t="str">
        <f>IF('Referensi Manual'!C10="","",'Referensi Manual'!C10)</f>
        <v/>
      </c>
      <c r="H130" s="31" t="str">
        <f t="shared" si="3"/>
        <v/>
      </c>
      <c r="I130" s="30"/>
      <c r="J130" s="23" t="s">
        <v>35</v>
      </c>
      <c r="K130" s="23" t="s">
        <v>35</v>
      </c>
      <c r="L130" s="19"/>
    </row>
    <row r="131" spans="1:12">
      <c r="A131" s="6">
        <v>127</v>
      </c>
      <c r="B131" s="7" t="s">
        <v>46</v>
      </c>
      <c r="C131" s="26">
        <v>0.35</v>
      </c>
      <c r="D131" s="26">
        <v>0.2</v>
      </c>
      <c r="E131" s="7" t="s">
        <v>14</v>
      </c>
      <c r="F131" s="30"/>
      <c r="G131" s="31" t="str">
        <f>IF('Referensi Manual'!C11="","",'Referensi Manual'!C11)</f>
        <v/>
      </c>
      <c r="H131" s="31" t="str">
        <f t="shared" si="3"/>
        <v/>
      </c>
      <c r="I131" s="30"/>
      <c r="J131" s="23" t="s">
        <v>35</v>
      </c>
      <c r="K131" s="23" t="s">
        <v>35</v>
      </c>
      <c r="L131" s="19"/>
    </row>
    <row r="132" spans="1:12">
      <c r="A132" s="6">
        <v>128</v>
      </c>
      <c r="B132" s="7" t="s">
        <v>46</v>
      </c>
      <c r="C132" s="26">
        <v>0.35</v>
      </c>
      <c r="D132" s="26">
        <v>0.2</v>
      </c>
      <c r="E132" s="7" t="s">
        <v>15</v>
      </c>
      <c r="F132" s="30"/>
      <c r="G132" s="31" t="str">
        <f>IF('Referensi Manual'!C12="","",'Referensi Manual'!C12)</f>
        <v/>
      </c>
      <c r="H132" s="31" t="str">
        <f t="shared" si="3"/>
        <v/>
      </c>
      <c r="I132" s="30"/>
      <c r="J132" s="23" t="s">
        <v>35</v>
      </c>
      <c r="K132" s="23" t="s">
        <v>35</v>
      </c>
      <c r="L132" s="19"/>
    </row>
    <row r="133" spans="1:12">
      <c r="A133" s="6">
        <v>129</v>
      </c>
      <c r="B133" s="7" t="s">
        <v>46</v>
      </c>
      <c r="C133" s="26">
        <v>0.35</v>
      </c>
      <c r="D133" s="26">
        <v>0.2</v>
      </c>
      <c r="E133" s="7" t="s">
        <v>16</v>
      </c>
      <c r="F133" s="30"/>
      <c r="G133" s="31" t="str">
        <f>IF('Referensi Manual'!C13="","",'Referensi Manual'!C13)</f>
        <v/>
      </c>
      <c r="H133" s="31" t="str">
        <f t="shared" ref="H133:H164" si="4">IF(OR(F133="",G133=""),"",ABS(F133-G133))</f>
        <v/>
      </c>
      <c r="I133" s="30"/>
      <c r="J133" s="23" t="s">
        <v>35</v>
      </c>
      <c r="K133" s="23" t="s">
        <v>35</v>
      </c>
      <c r="L133" s="19"/>
    </row>
    <row r="134" spans="1:12">
      <c r="A134" s="6">
        <v>130</v>
      </c>
      <c r="B134" s="7" t="s">
        <v>46</v>
      </c>
      <c r="C134" s="26">
        <v>0.35</v>
      </c>
      <c r="D134" s="26">
        <v>0.2</v>
      </c>
      <c r="E134" s="7" t="s">
        <v>17</v>
      </c>
      <c r="F134" s="30"/>
      <c r="G134" s="31" t="str">
        <f>IF('Referensi Manual'!C14="","",'Referensi Manual'!C14)</f>
        <v/>
      </c>
      <c r="H134" s="31" t="str">
        <f t="shared" si="4"/>
        <v/>
      </c>
      <c r="I134" s="30"/>
      <c r="J134" s="23" t="s">
        <v>35</v>
      </c>
      <c r="K134" s="23" t="s">
        <v>35</v>
      </c>
      <c r="L134" s="19"/>
    </row>
    <row r="135" spans="1:12">
      <c r="A135" s="6">
        <v>131</v>
      </c>
      <c r="B135" s="7" t="s">
        <v>46</v>
      </c>
      <c r="C135" s="26">
        <v>0.35</v>
      </c>
      <c r="D135" s="26">
        <v>0.2</v>
      </c>
      <c r="E135" s="7" t="s">
        <v>18</v>
      </c>
      <c r="F135" s="30"/>
      <c r="G135" s="31" t="str">
        <f>IF('Referensi Manual'!C15="","",'Referensi Manual'!C15)</f>
        <v/>
      </c>
      <c r="H135" s="31" t="str">
        <f t="shared" si="4"/>
        <v/>
      </c>
      <c r="I135" s="30"/>
      <c r="J135" s="23" t="s">
        <v>35</v>
      </c>
      <c r="K135" s="23" t="s">
        <v>35</v>
      </c>
      <c r="L135" s="19"/>
    </row>
    <row r="136" spans="1:12">
      <c r="A136" s="6">
        <v>132</v>
      </c>
      <c r="B136" s="7" t="s">
        <v>46</v>
      </c>
      <c r="C136" s="26">
        <v>0.35</v>
      </c>
      <c r="D136" s="26">
        <v>0.2</v>
      </c>
      <c r="E136" s="7" t="s">
        <v>19</v>
      </c>
      <c r="F136" s="30"/>
      <c r="G136" s="31" t="str">
        <f>IF('Referensi Manual'!C16="","",'Referensi Manual'!C16)</f>
        <v/>
      </c>
      <c r="H136" s="31" t="str">
        <f t="shared" si="4"/>
        <v/>
      </c>
      <c r="I136" s="30"/>
      <c r="J136" s="23" t="s">
        <v>35</v>
      </c>
      <c r="K136" s="23" t="s">
        <v>35</v>
      </c>
      <c r="L136" s="19"/>
    </row>
    <row r="137" spans="1:12">
      <c r="A137" s="6">
        <v>133</v>
      </c>
      <c r="B137" s="7" t="s">
        <v>46</v>
      </c>
      <c r="C137" s="26">
        <v>0.35</v>
      </c>
      <c r="D137" s="26">
        <v>0.2</v>
      </c>
      <c r="E137" s="7" t="s">
        <v>20</v>
      </c>
      <c r="F137" s="30"/>
      <c r="G137" s="31" t="str">
        <f>IF('Referensi Manual'!C17="","",'Referensi Manual'!C17)</f>
        <v/>
      </c>
      <c r="H137" s="31" t="str">
        <f t="shared" si="4"/>
        <v/>
      </c>
      <c r="I137" s="30"/>
      <c r="J137" s="23" t="s">
        <v>35</v>
      </c>
      <c r="K137" s="23" t="s">
        <v>35</v>
      </c>
      <c r="L137" s="19"/>
    </row>
    <row r="138" spans="1:12">
      <c r="A138" s="6">
        <v>134</v>
      </c>
      <c r="B138" s="7" t="s">
        <v>46</v>
      </c>
      <c r="C138" s="26">
        <v>0.35</v>
      </c>
      <c r="D138" s="26">
        <v>0.2</v>
      </c>
      <c r="E138" s="7" t="s">
        <v>21</v>
      </c>
      <c r="F138" s="30"/>
      <c r="G138" s="31" t="str">
        <f>IF('Referensi Manual'!C18="","",'Referensi Manual'!C18)</f>
        <v/>
      </c>
      <c r="H138" s="31" t="str">
        <f t="shared" si="4"/>
        <v/>
      </c>
      <c r="I138" s="30"/>
      <c r="J138" s="23" t="s">
        <v>35</v>
      </c>
      <c r="K138" s="23" t="s">
        <v>35</v>
      </c>
      <c r="L138" s="19"/>
    </row>
    <row r="139" spans="1:12">
      <c r="A139" s="8">
        <v>135</v>
      </c>
      <c r="B139" s="9" t="s">
        <v>46</v>
      </c>
      <c r="C139" s="27">
        <v>0.35</v>
      </c>
      <c r="D139" s="27">
        <v>0.2</v>
      </c>
      <c r="E139" s="9" t="s">
        <v>22</v>
      </c>
      <c r="F139" s="32"/>
      <c r="G139" s="33" t="str">
        <f>IF('Referensi Manual'!C19="","",'Referensi Manual'!C19)</f>
        <v/>
      </c>
      <c r="H139" s="33" t="str">
        <f t="shared" si="4"/>
        <v/>
      </c>
      <c r="I139" s="32"/>
      <c r="J139" s="24" t="s">
        <v>35</v>
      </c>
      <c r="K139" s="24" t="s">
        <v>35</v>
      </c>
      <c r="L139" s="21"/>
    </row>
  </sheetData>
  <mergeCells count="2">
    <mergeCell ref="A1:L1"/>
    <mergeCell ref="A2:L2"/>
  </mergeCells>
  <conditionalFormatting sqref="H5:H13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"/>
  <sheetViews>
    <sheetView workbookViewId="0">
      <selection sqref="A1:H1"/>
    </sheetView>
  </sheetViews>
  <sheetFormatPr defaultRowHeight="14.25"/>
  <cols>
    <col min="1" max="1" width="10" customWidth="1"/>
    <col min="2" max="2" width="15" customWidth="1"/>
    <col min="3" max="3" width="14" customWidth="1"/>
    <col min="4" max="4" width="12" customWidth="1"/>
    <col min="5" max="5" width="13" customWidth="1"/>
    <col min="6" max="6" width="19" customWidth="1"/>
    <col min="7" max="7" width="18" customWidth="1"/>
    <col min="8" max="8" width="36" customWidth="1"/>
  </cols>
  <sheetData>
    <row r="1" spans="1:8" ht="27.95" customHeight="1">
      <c r="A1" s="49" t="s">
        <v>47</v>
      </c>
      <c r="B1" s="50" t="s">
        <v>47</v>
      </c>
      <c r="C1" s="50" t="s">
        <v>47</v>
      </c>
      <c r="D1" s="50" t="s">
        <v>47</v>
      </c>
      <c r="E1" s="50" t="s">
        <v>47</v>
      </c>
      <c r="F1" s="50" t="s">
        <v>47</v>
      </c>
      <c r="G1" s="50" t="s">
        <v>47</v>
      </c>
      <c r="H1" s="51" t="s">
        <v>47</v>
      </c>
    </row>
    <row r="3" spans="1:8" ht="42" customHeight="1">
      <c r="A3" s="1" t="s">
        <v>48</v>
      </c>
      <c r="B3" s="2" t="s">
        <v>25</v>
      </c>
      <c r="C3" s="2" t="s">
        <v>26</v>
      </c>
      <c r="D3" s="2" t="s">
        <v>27</v>
      </c>
      <c r="E3" s="2" t="s">
        <v>49</v>
      </c>
      <c r="F3" s="2" t="s">
        <v>50</v>
      </c>
      <c r="G3" s="2" t="s">
        <v>51</v>
      </c>
      <c r="H3" s="3" t="s">
        <v>52</v>
      </c>
    </row>
    <row r="4" spans="1:8">
      <c r="A4" s="4" t="str">
        <f t="shared" ref="A4:A12" si="0">IF(E4=0,"",RANK(F4,$F$4:$F$12,1))</f>
        <v/>
      </c>
      <c r="B4" s="5" t="s">
        <v>34</v>
      </c>
      <c r="C4" s="25">
        <v>0.2</v>
      </c>
      <c r="D4" s="25">
        <v>0.1</v>
      </c>
      <c r="E4" s="13">
        <f>COUNT('Data 135 Pengamatan'!H5:H19)</f>
        <v>0</v>
      </c>
      <c r="F4" s="34" t="str">
        <f>IF(E4=0,"",AVERAGE('Data 135 Pengamatan'!H5:H19))</f>
        <v/>
      </c>
      <c r="G4" s="34" t="str">
        <f>IF(E4=0,"",MAX('Data 135 Pengamatan'!H5:H19))</f>
        <v/>
      </c>
      <c r="H4" s="37" t="str">
        <f t="shared" ref="H4:H12" si="1">IF(E4&lt;15,"BELUM LENGKAP",IF(A4=1,"TERBAIK","") )</f>
        <v>BELUM LENGKAP</v>
      </c>
    </row>
    <row r="5" spans="1:8">
      <c r="A5" s="6" t="str">
        <f t="shared" si="0"/>
        <v/>
      </c>
      <c r="B5" s="7" t="s">
        <v>36</v>
      </c>
      <c r="C5" s="26">
        <v>0.2</v>
      </c>
      <c r="D5" s="26">
        <v>0.15</v>
      </c>
      <c r="E5" s="14">
        <f>COUNT('Data 135 Pengamatan'!H20:H34)</f>
        <v>0</v>
      </c>
      <c r="F5" s="35" t="str">
        <f>IF(E5=0,"",AVERAGE('Data 135 Pengamatan'!H20:H34))</f>
        <v/>
      </c>
      <c r="G5" s="35" t="str">
        <f>IF(E5=0,"",MAX('Data 135 Pengamatan'!H20:H34))</f>
        <v/>
      </c>
      <c r="H5" s="38" t="str">
        <f t="shared" si="1"/>
        <v>BELUM LENGKAP</v>
      </c>
    </row>
    <row r="6" spans="1:8">
      <c r="A6" s="6" t="str">
        <f t="shared" si="0"/>
        <v/>
      </c>
      <c r="B6" s="7" t="s">
        <v>39</v>
      </c>
      <c r="C6" s="26">
        <v>0.2</v>
      </c>
      <c r="D6" s="26">
        <v>0.2</v>
      </c>
      <c r="E6" s="14">
        <f>COUNT('Data 135 Pengamatan'!H35:H49)</f>
        <v>0</v>
      </c>
      <c r="F6" s="35" t="str">
        <f>IF(E6=0,"",AVERAGE('Data 135 Pengamatan'!H35:H49))</f>
        <v/>
      </c>
      <c r="G6" s="35" t="str">
        <f>IF(E6=0,"",MAX('Data 135 Pengamatan'!H35:H49))</f>
        <v/>
      </c>
      <c r="H6" s="38" t="str">
        <f t="shared" si="1"/>
        <v>BELUM LENGKAP</v>
      </c>
    </row>
    <row r="7" spans="1:8">
      <c r="A7" s="6" t="str">
        <f t="shared" si="0"/>
        <v/>
      </c>
      <c r="B7" s="7" t="s">
        <v>40</v>
      </c>
      <c r="C7" s="26">
        <v>0.28000000000000003</v>
      </c>
      <c r="D7" s="26">
        <v>0.1</v>
      </c>
      <c r="E7" s="14">
        <f>COUNT('Data 135 Pengamatan'!H50:H64)</f>
        <v>0</v>
      </c>
      <c r="F7" s="35" t="str">
        <f>IF(E7=0,"",AVERAGE('Data 135 Pengamatan'!H50:H64))</f>
        <v/>
      </c>
      <c r="G7" s="35" t="str">
        <f>IF(E7=0,"",MAX('Data 135 Pengamatan'!H50:H64))</f>
        <v/>
      </c>
      <c r="H7" s="38" t="str">
        <f t="shared" si="1"/>
        <v>BELUM LENGKAP</v>
      </c>
    </row>
    <row r="8" spans="1:8">
      <c r="A8" s="6" t="str">
        <f t="shared" si="0"/>
        <v/>
      </c>
      <c r="B8" s="7" t="s">
        <v>42</v>
      </c>
      <c r="C8" s="26">
        <v>0.28000000000000003</v>
      </c>
      <c r="D8" s="26">
        <v>0.15</v>
      </c>
      <c r="E8" s="14">
        <f>COUNT('Data 135 Pengamatan'!H65:H79)</f>
        <v>0</v>
      </c>
      <c r="F8" s="35" t="str">
        <f>IF(E8=0,"",AVERAGE('Data 135 Pengamatan'!H65:H79))</f>
        <v/>
      </c>
      <c r="G8" s="35" t="str">
        <f>IF(E8=0,"",MAX('Data 135 Pengamatan'!H65:H79))</f>
        <v/>
      </c>
      <c r="H8" s="38" t="str">
        <f t="shared" si="1"/>
        <v>BELUM LENGKAP</v>
      </c>
    </row>
    <row r="9" spans="1:8">
      <c r="A9" s="6" t="str">
        <f t="shared" si="0"/>
        <v/>
      </c>
      <c r="B9" s="7" t="s">
        <v>43</v>
      </c>
      <c r="C9" s="26">
        <v>0.28000000000000003</v>
      </c>
      <c r="D9" s="26">
        <v>0.2</v>
      </c>
      <c r="E9" s="14">
        <f>COUNT('Data 135 Pengamatan'!H80:H94)</f>
        <v>0</v>
      </c>
      <c r="F9" s="35" t="str">
        <f>IF(E9=0,"",AVERAGE('Data 135 Pengamatan'!H80:H94))</f>
        <v/>
      </c>
      <c r="G9" s="35" t="str">
        <f>IF(E9=0,"",MAX('Data 135 Pengamatan'!H80:H94))</f>
        <v/>
      </c>
      <c r="H9" s="38" t="str">
        <f t="shared" si="1"/>
        <v>BELUM LENGKAP</v>
      </c>
    </row>
    <row r="10" spans="1:8">
      <c r="A10" s="6" t="str">
        <f t="shared" si="0"/>
        <v/>
      </c>
      <c r="B10" s="7" t="s">
        <v>44</v>
      </c>
      <c r="C10" s="26">
        <v>0.35</v>
      </c>
      <c r="D10" s="26">
        <v>0.1</v>
      </c>
      <c r="E10" s="14">
        <f>COUNT('Data 135 Pengamatan'!H95:H109)</f>
        <v>0</v>
      </c>
      <c r="F10" s="35" t="str">
        <f>IF(E10=0,"",AVERAGE('Data 135 Pengamatan'!H95:H109))</f>
        <v/>
      </c>
      <c r="G10" s="35" t="str">
        <f>IF(E10=0,"",MAX('Data 135 Pengamatan'!H95:H109))</f>
        <v/>
      </c>
      <c r="H10" s="38" t="str">
        <f t="shared" si="1"/>
        <v>BELUM LENGKAP</v>
      </c>
    </row>
    <row r="11" spans="1:8">
      <c r="A11" s="6" t="str">
        <f t="shared" si="0"/>
        <v/>
      </c>
      <c r="B11" s="7" t="s">
        <v>45</v>
      </c>
      <c r="C11" s="26">
        <v>0.35</v>
      </c>
      <c r="D11" s="26">
        <v>0.15</v>
      </c>
      <c r="E11" s="14">
        <f>COUNT('Data 135 Pengamatan'!H110:H124)</f>
        <v>0</v>
      </c>
      <c r="F11" s="35" t="str">
        <f>IF(E11=0,"",AVERAGE('Data 135 Pengamatan'!H110:H124))</f>
        <v/>
      </c>
      <c r="G11" s="35" t="str">
        <f>IF(E11=0,"",MAX('Data 135 Pengamatan'!H110:H124))</f>
        <v/>
      </c>
      <c r="H11" s="38" t="str">
        <f t="shared" si="1"/>
        <v>BELUM LENGKAP</v>
      </c>
    </row>
    <row r="12" spans="1:8">
      <c r="A12" s="8" t="str">
        <f t="shared" si="0"/>
        <v/>
      </c>
      <c r="B12" s="9" t="s">
        <v>46</v>
      </c>
      <c r="C12" s="27">
        <v>0.35</v>
      </c>
      <c r="D12" s="27">
        <v>0.2</v>
      </c>
      <c r="E12" s="15">
        <f>COUNT('Data 135 Pengamatan'!H125:H139)</f>
        <v>0</v>
      </c>
      <c r="F12" s="36" t="str">
        <f>IF(E12=0,"",AVERAGE('Data 135 Pengamatan'!H125:H139))</f>
        <v/>
      </c>
      <c r="G12" s="36" t="str">
        <f>IF(E12=0,"",MAX('Data 135 Pengamatan'!H125:H139))</f>
        <v/>
      </c>
      <c r="H12" s="39" t="str">
        <f t="shared" si="1"/>
        <v>BELUM LENGKAP</v>
      </c>
    </row>
    <row r="15" spans="1:8" ht="15">
      <c r="A15" s="53" t="s">
        <v>53</v>
      </c>
      <c r="B15" s="54"/>
      <c r="C15" s="54"/>
      <c r="D15" s="54"/>
      <c r="E15" s="54"/>
      <c r="F15" s="54"/>
      <c r="G15" s="54"/>
      <c r="H15" s="55"/>
    </row>
  </sheetData>
  <mergeCells count="2">
    <mergeCell ref="A1:H1"/>
    <mergeCell ref="A15:H15"/>
  </mergeCells>
  <conditionalFormatting sqref="F4:F1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"/>
  <sheetViews>
    <sheetView tabSelected="1" workbookViewId="0">
      <selection sqref="A1:D1"/>
    </sheetView>
  </sheetViews>
  <sheetFormatPr defaultRowHeight="14.25"/>
  <cols>
    <col min="1" max="1" width="10" customWidth="1"/>
    <col min="2" max="2" width="48" customWidth="1"/>
    <col min="3" max="3" width="42" customWidth="1"/>
    <col min="4" max="4" width="48" customWidth="1"/>
  </cols>
  <sheetData>
    <row r="1" spans="1:4" ht="27.95" customHeight="1">
      <c r="A1" s="49" t="s">
        <v>54</v>
      </c>
      <c r="B1" s="50" t="s">
        <v>54</v>
      </c>
      <c r="C1" s="50" t="s">
        <v>54</v>
      </c>
      <c r="D1" s="51" t="s">
        <v>54</v>
      </c>
    </row>
    <row r="3" spans="1:4" ht="42" customHeight="1">
      <c r="A3" s="1" t="s">
        <v>55</v>
      </c>
      <c r="B3" s="2" t="s">
        <v>56</v>
      </c>
      <c r="C3" s="2" t="s">
        <v>57</v>
      </c>
      <c r="D3" s="3" t="s">
        <v>6</v>
      </c>
    </row>
    <row r="4" spans="1:4">
      <c r="A4" s="40">
        <v>1</v>
      </c>
      <c r="B4" s="41" t="s">
        <v>58</v>
      </c>
      <c r="C4" s="41" t="s">
        <v>8</v>
      </c>
      <c r="D4" s="42" t="s">
        <v>59</v>
      </c>
    </row>
    <row r="5" spans="1:4">
      <c r="A5" s="43">
        <v>2</v>
      </c>
      <c r="B5" s="44" t="s">
        <v>60</v>
      </c>
      <c r="C5" s="44" t="s">
        <v>61</v>
      </c>
      <c r="D5" s="45" t="s">
        <v>62</v>
      </c>
    </row>
    <row r="6" spans="1:4">
      <c r="A6" s="43">
        <v>3</v>
      </c>
      <c r="B6" s="44" t="s">
        <v>63</v>
      </c>
      <c r="C6" s="44" t="s">
        <v>64</v>
      </c>
      <c r="D6" s="45" t="s">
        <v>65</v>
      </c>
    </row>
    <row r="7" spans="1:4">
      <c r="A7" s="43">
        <v>4</v>
      </c>
      <c r="B7" s="44" t="s">
        <v>66</v>
      </c>
      <c r="C7" s="44" t="s">
        <v>67</v>
      </c>
      <c r="D7" s="45" t="s">
        <v>68</v>
      </c>
    </row>
    <row r="8" spans="1:4">
      <c r="A8" s="43">
        <v>5</v>
      </c>
      <c r="B8" s="44" t="s">
        <v>69</v>
      </c>
      <c r="C8" s="44" t="s">
        <v>70</v>
      </c>
      <c r="D8" s="45" t="s">
        <v>71</v>
      </c>
    </row>
    <row r="9" spans="1:4">
      <c r="A9" s="43">
        <v>6</v>
      </c>
      <c r="B9" s="44" t="s">
        <v>72</v>
      </c>
      <c r="C9" s="44" t="s">
        <v>73</v>
      </c>
      <c r="D9" s="45" t="s">
        <v>74</v>
      </c>
    </row>
    <row r="10" spans="1:4">
      <c r="A10" s="46">
        <v>7</v>
      </c>
      <c r="B10" s="47" t="s">
        <v>75</v>
      </c>
      <c r="C10" s="47" t="s">
        <v>76</v>
      </c>
      <c r="D10" s="48" t="s">
        <v>77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Referensi Manual</vt:lpstr>
      <vt:lpstr>Data 135 Pengamatan</vt:lpstr>
      <vt:lpstr>Ringkasan Kombinasi</vt:lpstr>
      <vt:lpstr>Petunjuk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khayla fitriani</cp:lastModifiedBy>
  <dcterms:modified xsi:type="dcterms:W3CDTF">2026-07-12T08:03:44Z</dcterms:modified>
</cp:coreProperties>
</file>