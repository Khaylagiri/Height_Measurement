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A Skripsi\aplikasi\HeightMeasurement\outputs\019f4b21-afba-7351-9169-cd99895d5409\"/>
    </mc:Choice>
  </mc:AlternateContent>
  <xr:revisionPtr revIDLastSave="0" documentId="11_1C687A05BF2AB835102852149EAAFF6EE35E0335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ingkasan" sheetId="1" r:id="rId1"/>
    <sheet name="PX 100" sheetId="2" r:id="rId2"/>
    <sheet name="PX 120" sheetId="3" r:id="rId3"/>
    <sheet name="PX 150" sheetId="4" r:id="rId4"/>
    <sheet name="Parameter Uji 3" sheetId="5" r:id="rId5"/>
    <sheet name="Pengujian Ketiga" sheetId="6" r:id="rId6"/>
    <sheet name="Ringkasan Uji 3" sheetId="7" r:id="rId7"/>
    <sheet name="Petunjuk &amp; Kekuranga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7" l="1"/>
  <c r="B7" i="7"/>
  <c r="B5" i="7"/>
  <c r="B4" i="7"/>
  <c r="O19" i="6"/>
  <c r="M19" i="6"/>
  <c r="P19" i="6" s="1"/>
  <c r="Q19" i="6" s="1"/>
  <c r="R19" i="6" s="1"/>
  <c r="L19" i="6"/>
  <c r="I19" i="6"/>
  <c r="O18" i="6"/>
  <c r="M18" i="6"/>
  <c r="P18" i="6" s="1"/>
  <c r="Q18" i="6" s="1"/>
  <c r="R18" i="6" s="1"/>
  <c r="L18" i="6"/>
  <c r="I18" i="6"/>
  <c r="O17" i="6"/>
  <c r="M17" i="6"/>
  <c r="P17" i="6" s="1"/>
  <c r="Q17" i="6" s="1"/>
  <c r="R17" i="6" s="1"/>
  <c r="L17" i="6"/>
  <c r="I17" i="6"/>
  <c r="P16" i="6"/>
  <c r="Q16" i="6" s="1"/>
  <c r="R16" i="6" s="1"/>
  <c r="O16" i="6"/>
  <c r="M16" i="6"/>
  <c r="L16" i="6"/>
  <c r="I16" i="6"/>
  <c r="O15" i="6"/>
  <c r="M15" i="6"/>
  <c r="P15" i="6" s="1"/>
  <c r="Q15" i="6" s="1"/>
  <c r="R15" i="6" s="1"/>
  <c r="L15" i="6"/>
  <c r="I15" i="6"/>
  <c r="O14" i="6"/>
  <c r="M14" i="6"/>
  <c r="P14" i="6" s="1"/>
  <c r="Q14" i="6" s="1"/>
  <c r="R14" i="6" s="1"/>
  <c r="L14" i="6"/>
  <c r="I14" i="6"/>
  <c r="P13" i="6"/>
  <c r="Q13" i="6" s="1"/>
  <c r="R13" i="6" s="1"/>
  <c r="O13" i="6"/>
  <c r="M13" i="6"/>
  <c r="L13" i="6"/>
  <c r="I13" i="6"/>
  <c r="O12" i="6"/>
  <c r="M12" i="6"/>
  <c r="P12" i="6" s="1"/>
  <c r="Q12" i="6" s="1"/>
  <c r="R12" i="6" s="1"/>
  <c r="L12" i="6"/>
  <c r="I12" i="6"/>
  <c r="O11" i="6"/>
  <c r="M11" i="6"/>
  <c r="P11" i="6" s="1"/>
  <c r="Q11" i="6" s="1"/>
  <c r="R11" i="6" s="1"/>
  <c r="L11" i="6"/>
  <c r="I11" i="6"/>
  <c r="P10" i="6"/>
  <c r="Q10" i="6" s="1"/>
  <c r="R10" i="6" s="1"/>
  <c r="O10" i="6"/>
  <c r="M10" i="6"/>
  <c r="L10" i="6"/>
  <c r="I10" i="6"/>
  <c r="O9" i="6"/>
  <c r="M9" i="6"/>
  <c r="P9" i="6" s="1"/>
  <c r="Q9" i="6" s="1"/>
  <c r="R9" i="6" s="1"/>
  <c r="L9" i="6"/>
  <c r="I9" i="6"/>
  <c r="O8" i="6"/>
  <c r="M8" i="6"/>
  <c r="P8" i="6" s="1"/>
  <c r="Q8" i="6" s="1"/>
  <c r="R8" i="6" s="1"/>
  <c r="L8" i="6"/>
  <c r="I8" i="6"/>
  <c r="P7" i="6"/>
  <c r="Q7" i="6" s="1"/>
  <c r="R7" i="6" s="1"/>
  <c r="O7" i="6"/>
  <c r="M7" i="6"/>
  <c r="L7" i="6"/>
  <c r="I7" i="6"/>
  <c r="O6" i="6"/>
  <c r="M6" i="6"/>
  <c r="P6" i="6" s="1"/>
  <c r="Q6" i="6" s="1"/>
  <c r="R6" i="6" s="1"/>
  <c r="L6" i="6"/>
  <c r="B8" i="7" s="1"/>
  <c r="I6" i="6"/>
  <c r="O5" i="6"/>
  <c r="M5" i="6"/>
  <c r="P5" i="6" s="1"/>
  <c r="L5" i="6"/>
  <c r="I5" i="6"/>
  <c r="B8" i="5"/>
  <c r="N19" i="4"/>
  <c r="J19" i="4"/>
  <c r="I19" i="4"/>
  <c r="G19" i="4"/>
  <c r="H19" i="4" s="1"/>
  <c r="N18" i="4"/>
  <c r="J18" i="4"/>
  <c r="I18" i="4"/>
  <c r="G18" i="4"/>
  <c r="H18" i="4" s="1"/>
  <c r="N17" i="4"/>
  <c r="J17" i="4"/>
  <c r="I17" i="4"/>
  <c r="H17" i="4"/>
  <c r="G17" i="4"/>
  <c r="N16" i="4"/>
  <c r="J16" i="4"/>
  <c r="I16" i="4"/>
  <c r="G16" i="4"/>
  <c r="H16" i="4" s="1"/>
  <c r="N15" i="4"/>
  <c r="J15" i="4"/>
  <c r="I15" i="4"/>
  <c r="G15" i="4"/>
  <c r="H15" i="4" s="1"/>
  <c r="N14" i="4"/>
  <c r="J14" i="4"/>
  <c r="I14" i="4"/>
  <c r="G14" i="4"/>
  <c r="H14" i="4" s="1"/>
  <c r="N13" i="4"/>
  <c r="J13" i="4"/>
  <c r="I13" i="4"/>
  <c r="H13" i="4"/>
  <c r="G13" i="4"/>
  <c r="N12" i="4"/>
  <c r="J12" i="4"/>
  <c r="I12" i="4"/>
  <c r="H12" i="4"/>
  <c r="G12" i="4"/>
  <c r="N11" i="4"/>
  <c r="J11" i="4"/>
  <c r="I11" i="4"/>
  <c r="H11" i="4"/>
  <c r="G11" i="4"/>
  <c r="N10" i="4"/>
  <c r="J10" i="4"/>
  <c r="I10" i="4"/>
  <c r="G10" i="4"/>
  <c r="H10" i="4" s="1"/>
  <c r="N9" i="4"/>
  <c r="J9" i="4"/>
  <c r="I9" i="4"/>
  <c r="G9" i="4"/>
  <c r="H9" i="4" s="1"/>
  <c r="N8" i="4"/>
  <c r="J8" i="4"/>
  <c r="I8" i="4"/>
  <c r="G8" i="4"/>
  <c r="H8" i="4" s="1"/>
  <c r="N7" i="4"/>
  <c r="J6" i="1" s="1"/>
  <c r="J7" i="4"/>
  <c r="I7" i="4"/>
  <c r="G7" i="4"/>
  <c r="H7" i="4" s="1"/>
  <c r="N6" i="4"/>
  <c r="J6" i="4"/>
  <c r="I6" i="4"/>
  <c r="G6" i="4"/>
  <c r="H6" i="4" s="1"/>
  <c r="N5" i="4"/>
  <c r="J5" i="4"/>
  <c r="I5" i="4"/>
  <c r="E6" i="1" s="1"/>
  <c r="H5" i="4"/>
  <c r="D6" i="1" s="1"/>
  <c r="G5" i="4"/>
  <c r="N19" i="3"/>
  <c r="J19" i="3"/>
  <c r="I19" i="3"/>
  <c r="G19" i="3"/>
  <c r="H19" i="3" s="1"/>
  <c r="N18" i="3"/>
  <c r="J18" i="3"/>
  <c r="I18" i="3"/>
  <c r="G18" i="3"/>
  <c r="H18" i="3" s="1"/>
  <c r="N17" i="3"/>
  <c r="J17" i="3"/>
  <c r="I17" i="3"/>
  <c r="G17" i="3"/>
  <c r="H17" i="3" s="1"/>
  <c r="N16" i="3"/>
  <c r="J16" i="3"/>
  <c r="I16" i="3"/>
  <c r="H16" i="3"/>
  <c r="G16" i="3"/>
  <c r="N15" i="3"/>
  <c r="J15" i="3"/>
  <c r="I15" i="3"/>
  <c r="H15" i="3"/>
  <c r="G15" i="3"/>
  <c r="N14" i="3"/>
  <c r="J14" i="3"/>
  <c r="I14" i="3"/>
  <c r="H14" i="3"/>
  <c r="G14" i="3"/>
  <c r="N13" i="3"/>
  <c r="J13" i="3"/>
  <c r="I13" i="3"/>
  <c r="G13" i="3"/>
  <c r="H13" i="3" s="1"/>
  <c r="N12" i="3"/>
  <c r="J12" i="3"/>
  <c r="I12" i="3"/>
  <c r="G12" i="3"/>
  <c r="H12" i="3" s="1"/>
  <c r="N11" i="3"/>
  <c r="J11" i="3"/>
  <c r="I11" i="3"/>
  <c r="G11" i="3"/>
  <c r="H11" i="3" s="1"/>
  <c r="N10" i="3"/>
  <c r="J10" i="3"/>
  <c r="I10" i="3"/>
  <c r="G10" i="3"/>
  <c r="H10" i="3" s="1"/>
  <c r="N9" i="3"/>
  <c r="J9" i="3"/>
  <c r="I9" i="3"/>
  <c r="G9" i="3"/>
  <c r="H9" i="3" s="1"/>
  <c r="N8" i="3"/>
  <c r="J8" i="3"/>
  <c r="I8" i="3"/>
  <c r="H8" i="3"/>
  <c r="G8" i="3"/>
  <c r="N7" i="3"/>
  <c r="J7" i="3"/>
  <c r="I7" i="3"/>
  <c r="G7" i="3"/>
  <c r="H7" i="3" s="1"/>
  <c r="N6" i="3"/>
  <c r="J6" i="3"/>
  <c r="I6" i="3"/>
  <c r="G6" i="3"/>
  <c r="H6" i="3" s="1"/>
  <c r="N5" i="3"/>
  <c r="J5" i="1" s="1"/>
  <c r="J5" i="3"/>
  <c r="I5" i="3"/>
  <c r="G5" i="3"/>
  <c r="H5" i="3" s="1"/>
  <c r="N19" i="2"/>
  <c r="J19" i="2"/>
  <c r="I19" i="2"/>
  <c r="H19" i="2"/>
  <c r="G19" i="2"/>
  <c r="N18" i="2"/>
  <c r="J18" i="2"/>
  <c r="I18" i="2"/>
  <c r="H18" i="2"/>
  <c r="G18" i="2"/>
  <c r="N17" i="2"/>
  <c r="J17" i="2"/>
  <c r="I17" i="2"/>
  <c r="H17" i="2"/>
  <c r="G17" i="2"/>
  <c r="N16" i="2"/>
  <c r="J16" i="2"/>
  <c r="I16" i="2"/>
  <c r="G16" i="2"/>
  <c r="H16" i="2" s="1"/>
  <c r="N15" i="2"/>
  <c r="J15" i="2"/>
  <c r="I15" i="2"/>
  <c r="G15" i="2"/>
  <c r="H15" i="2" s="1"/>
  <c r="N14" i="2"/>
  <c r="J14" i="2"/>
  <c r="I14" i="2"/>
  <c r="G14" i="2"/>
  <c r="H14" i="2" s="1"/>
  <c r="N13" i="2"/>
  <c r="J13" i="2"/>
  <c r="I13" i="2"/>
  <c r="G13" i="2"/>
  <c r="H13" i="2" s="1"/>
  <c r="N12" i="2"/>
  <c r="J12" i="2"/>
  <c r="I12" i="2"/>
  <c r="G12" i="2"/>
  <c r="H12" i="2" s="1"/>
  <c r="N11" i="2"/>
  <c r="J11" i="2"/>
  <c r="I11" i="2"/>
  <c r="H11" i="2"/>
  <c r="G11" i="2"/>
  <c r="N10" i="2"/>
  <c r="J10" i="2"/>
  <c r="I10" i="2"/>
  <c r="G10" i="2"/>
  <c r="H10" i="2" s="1"/>
  <c r="N9" i="2"/>
  <c r="J9" i="2"/>
  <c r="I9" i="2"/>
  <c r="G9" i="2"/>
  <c r="H9" i="2" s="1"/>
  <c r="N8" i="2"/>
  <c r="J8" i="2"/>
  <c r="I8" i="2"/>
  <c r="G8" i="2"/>
  <c r="H8" i="2" s="1"/>
  <c r="N7" i="2"/>
  <c r="J7" i="2"/>
  <c r="I7" i="2"/>
  <c r="H7" i="2"/>
  <c r="G7" i="2"/>
  <c r="N6" i="2"/>
  <c r="I4" i="1" s="1"/>
  <c r="J6" i="2"/>
  <c r="I6" i="2"/>
  <c r="H6" i="2"/>
  <c r="G6" i="2"/>
  <c r="N5" i="2"/>
  <c r="J5" i="2"/>
  <c r="I5" i="2"/>
  <c r="H5" i="2"/>
  <c r="G5" i="2"/>
  <c r="G6" i="1"/>
  <c r="F6" i="1"/>
  <c r="C6" i="1"/>
  <c r="B6" i="1"/>
  <c r="H5" i="1"/>
  <c r="G5" i="1"/>
  <c r="F5" i="1"/>
  <c r="E5" i="1"/>
  <c r="C5" i="1"/>
  <c r="B5" i="1"/>
  <c r="J4" i="1"/>
  <c r="G4" i="1"/>
  <c r="F4" i="1"/>
  <c r="E4" i="1"/>
  <c r="D4" i="1"/>
  <c r="C4" i="1"/>
  <c r="B4" i="1"/>
  <c r="Q5" i="6" l="1"/>
  <c r="B6" i="7"/>
  <c r="N19" i="6"/>
  <c r="N16" i="6"/>
  <c r="N13" i="6"/>
  <c r="N10" i="6"/>
  <c r="N7" i="6"/>
  <c r="N14" i="6"/>
  <c r="N11" i="6"/>
  <c r="N8" i="6"/>
  <c r="N5" i="6"/>
  <c r="N17" i="6"/>
  <c r="N18" i="6"/>
  <c r="N15" i="6"/>
  <c r="N12" i="6"/>
  <c r="N9" i="6"/>
  <c r="N6" i="6"/>
  <c r="B5" i="5"/>
  <c r="D5" i="1"/>
  <c r="I6" i="1"/>
  <c r="H6" i="1"/>
  <c r="I5" i="1"/>
  <c r="H4" i="1"/>
  <c r="B11" i="7" l="1"/>
  <c r="R5" i="6"/>
  <c r="B10" i="7" s="1"/>
  <c r="B9" i="7"/>
</calcChain>
</file>

<file path=xl/sharedStrings.xml><?xml version="1.0" encoding="utf-8"?>
<sst xmlns="http://schemas.openxmlformats.org/spreadsheetml/2006/main" count="458" uniqueCount="162">
  <si>
    <t>RINGKASAN PENGUJIAN SKALA PIKSEL</t>
  </si>
  <si>
    <t>PX_PER_CELL</t>
  </si>
  <si>
    <t>Jumlah citra</t>
  </si>
  <si>
    <t>Tinggi board
warp (px)</t>
  </si>
  <si>
    <t>cmPerPixel
(cm/px)</t>
  </si>
  <si>
    <t>Lebar output
(px)</t>
  </si>
  <si>
    <t>Tinggi canvas
(px)</t>
  </si>
  <si>
    <t>Hasil aplikasi
terisi</t>
  </si>
  <si>
    <t>MAE
(cm)</t>
  </si>
  <si>
    <t>Error min
(cm)</t>
  </si>
  <si>
    <t>Error maks
(cm)</t>
  </si>
  <si>
    <t>PENGUJIAN KEDUA – PX_PER_CELL 100</t>
  </si>
  <si>
    <t>No.</t>
  </si>
  <si>
    <t>Kode</t>
  </si>
  <si>
    <t>Jumlah marker
terdeteksi</t>
  </si>
  <si>
    <t>Perspektif</t>
  </si>
  <si>
    <t>Board terlihat
lurus</t>
  </si>
  <si>
    <t>Tinggi board
hasil warp (px)</t>
  </si>
  <si>
    <t>Tinggi output/
canvas (px)</t>
  </si>
  <si>
    <t>Tubuh/board
terpotong</t>
  </si>
  <si>
    <t>Tinggi aktual/
referensi (cm)</t>
  </si>
  <si>
    <t>Hasil aplikasi
(cm)</t>
  </si>
  <si>
    <t>Error absolut
(cm)</t>
  </si>
  <si>
    <t>C01</t>
  </si>
  <si>
    <t>Berhasil</t>
  </si>
  <si>
    <t>Ya</t>
  </si>
  <si>
    <t>Tidak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</si>
  <si>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</si>
  <si>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</si>
  <si>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</si>
  <si>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</si>
  <si>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</si>
  <si>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</si>
  <si>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</si>
  <si>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</si>
  <si>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</si>
  <si>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</si>
  <si>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</si>
  <si>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</si>
  <si>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</si>
  <si>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</si>
  <si>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PENGUJIAN KEDUA – PX_PER_CELL 120</t>
  </si>
  <si>
    <t>PENGUJIAN KEDUA – PX_PER_CELL 150</t>
  </si>
  <si>
    <t>PARAMETER TETAP PENGUJIAN KETIGA</t>
  </si>
  <si>
    <t>Parameter</t>
  </si>
  <si>
    <t>Nilai</t>
  </si>
  <si>
    <t>Satuan</t>
  </si>
  <si>
    <t>Asal / kegunaan</t>
  </si>
  <si>
    <t>PX_PER_CELL terpilih</t>
  </si>
  <si>
    <t>px/sel</t>
  </si>
  <si>
    <t>Hasil terbaik pengujian kedua (MAE paling kecil)</t>
  </si>
  <si>
    <t>cmPerPixel</t>
  </si>
  <si>
    <t>cm/px</t>
  </si>
  <si>
    <t>200 cm dibagi tinggi board hasil warp pada PX 120</t>
  </si>
  <si>
    <t>Jarak kamera ke board</t>
  </si>
  <si>
    <t>cm</t>
  </si>
  <si>
    <t>Konstanta kode MeasurementActivity</t>
  </si>
  <si>
    <t>Jarak subjek dari board</t>
  </si>
  <si>
    <t>Faktor kedalaman</t>
  </si>
  <si>
    <t>rasio</t>
  </si>
  <si>
    <t>(jarak kamera - jarak subjek) / jarak kamera</t>
  </si>
  <si>
    <t>Faktor kalibrasi tinggi</t>
  </si>
  <si>
    <t>Pengali kalibrasi pada kode</t>
  </si>
  <si>
    <t>Tinggi board nyata</t>
  </si>
  <si>
    <t>Ukuran fisik total board</t>
  </si>
  <si>
    <t>Tinggi board dalam sel</t>
  </si>
  <si>
    <t>sel</t>
  </si>
  <si>
    <t>Parameter geometri pada pengujian kedua</t>
  </si>
  <si>
    <t>PENGUJIAN KETIGA – VALIDASI TITIK PUNCAK KEPALA DAN KAKI TERBAWAH</t>
  </si>
  <si>
    <t>Tujuan: menguji apakah titik kepala dan kaki yang dipilih aplikasi sesuai dengan penandaan manual pada citra hasil warp.</t>
  </si>
  <si>
    <t>Kode citra</t>
  </si>
  <si>
    <t>Pose tegak</t>
  </si>
  <si>
    <t>Kepala terlihat</t>
  </si>
  <si>
    <t>Kaki terlihat</t>
  </si>
  <si>
    <t>headTop.y aplikasi (px)</t>
  </si>
  <si>
    <t>headTop.y manual (px)</t>
  </si>
  <si>
    <t>Galat titik kepala (px)</t>
  </si>
  <si>
    <t>footBottom.y aplikasi (px)</t>
  </si>
  <si>
    <t>footBottom.y manual (px)</t>
  </si>
  <si>
    <t>Galat titik kaki (px)</t>
  </si>
  <si>
    <t>Tinggi vertikal aplikasi (px)</t>
  </si>
  <si>
    <t>cmPerPixel (cm/px)</t>
  </si>
  <si>
    <t>Tinggi aktual (cm)</t>
  </si>
  <si>
    <t>Hasil aplikasi (cm)</t>
  </si>
  <si>
    <t>Galat absolut (cm)</t>
  </si>
  <si>
    <t>Galat relatif (%)</t>
  </si>
  <si>
    <t>Waktu proses (detik)</t>
  </si>
  <si>
    <t>Catatan</t>
  </si>
  <si>
    <t>Tegak</t>
  </si>
  <si>
    <t>RINGKASAN HASIL PENGUJIAN KETIGA</t>
  </si>
  <si>
    <t>Indikator</t>
  </si>
  <si>
    <t>Interpretasi</t>
  </si>
  <si>
    <t>PX_PER_CELL yang digunakan</t>
  </si>
  <si>
    <t>Parameter terbaik dari pengujian kedua</t>
  </si>
  <si>
    <t>citra</t>
  </si>
  <si>
    <t>Target 15 citra</t>
  </si>
  <si>
    <t>Data hasil lengkap</t>
  </si>
  <si>
    <t>Terisi jika hasil aplikasi tersedia</t>
  </si>
  <si>
    <t>Rata-rata galat titik kepala</t>
  </si>
  <si>
    <t>px</t>
  </si>
  <si>
    <t>Semakin kecil semakin baik</t>
  </si>
  <si>
    <t>Rata-rata galat titik kaki</t>
  </si>
  <si>
    <t>MAE tinggi</t>
  </si>
  <si>
    <t>Rata-rata galat absolut terhadap tinggi aktual</t>
  </si>
  <si>
    <t>Rata-rata galat relatif</t>
  </si>
  <si>
    <t>%</t>
  </si>
  <si>
    <t>MAE dalam proporsi tinggi aktual</t>
  </si>
  <si>
    <t>Galat absolut maksimum</t>
  </si>
  <si>
    <t>Kasus terburuk</t>
  </si>
  <si>
    <t>Rata-rata waktu proses</t>
  </si>
  <si>
    <t>detik</t>
  </si>
  <si>
    <t>Kecepatan pemrosesan</t>
  </si>
  <si>
    <t>PETUNJUK PENGUJIAN KETIGA DAN DATA YANG MASIH KURANG</t>
  </si>
  <si>
    <t>Langkah</t>
  </si>
  <si>
    <t>Yang dilakukan</t>
  </si>
  <si>
    <t>Yang dicatat</t>
  </si>
  <si>
    <t>Tujuan</t>
  </si>
  <si>
    <t>Gunakan 15 citra yang sama dengan pengujian kedua dan tetapkan PX_PER_CELL = 120.</t>
  </si>
  <si>
    <t>Kode citra dan PX_PER_CELL</t>
  </si>
  <si>
    <t>Perbandingan tetap adil</t>
  </si>
  <si>
    <t>Pastikan subjek tegak serta kepala dan kaki tidak terpotong.</t>
  </si>
  <si>
    <t>Pose, kepala terlihat, kaki terlihat</t>
  </si>
  <si>
    <t>Mencegah galat akibat input tidak valid</t>
  </si>
  <si>
    <t>Ambil nilai Y puncak kepala dan kaki terbawah dari aplikasi.</t>
  </si>
  <si>
    <t>headTop.y dan footBottom.y aplikasi</t>
  </si>
  <si>
    <t>Menguji keluaran algoritma</t>
  </si>
  <si>
    <t>Tandai titik yang sama secara manual pada citra hasil warp.</t>
  </si>
  <si>
    <t>headTop.y dan footBottom.y manual</t>
  </si>
  <si>
    <t>Menjadi referensi titik</t>
  </si>
  <si>
    <t>Masukkan tinggi aktual dan hasil aplikasi.</t>
  </si>
  <si>
    <t>Tinggi aktual, hasil aplikasi</t>
  </si>
  <si>
    <t>Menghitung galat absolut/relatif</t>
  </si>
  <si>
    <t>Ulangi setiap citra minimal 3 kali bila pengambilan dilakukan ulang.</t>
  </si>
  <si>
    <t>Hasil tiap ulangan dan waktu proses</t>
  </si>
  <si>
    <t>Mengukur konsistensi</t>
  </si>
  <si>
    <t>Kekurangan pada tabel pengujian kedua</t>
  </si>
  <si>
    <t>Dampak</t>
  </si>
  <si>
    <t>Yang harus ditambahkan</t>
  </si>
  <si>
    <t>Jumlah marker terdeteksi masih kosong.</t>
  </si>
  <si>
    <t>Kualitas deteksi board tidak dapat dinilai.</t>
  </si>
  <si>
    <t>Isi jumlah marker untuk setiap citra.</t>
  </si>
  <si>
    <t>Status board lurus dan tubuh/board terpotong belum lengkap pada PX 120.</t>
  </si>
  <si>
    <t>Penyebab galat tinggi sulit dilacak.</t>
  </si>
  <si>
    <t>Isi Ya/Tidak untuk semua baris.</t>
  </si>
  <si>
    <t>Belum ada koordinat mentah kepala dan kaki.</t>
  </si>
  <si>
    <t>Tidak diketahui apakah galat berasal dari landmark.</t>
  </si>
  <si>
    <t>Pengujian ketiga menambahkan koordinat aplikasi dan manual.</t>
  </si>
  <si>
    <t>Belum ada galat relatif (%).</t>
  </si>
  <si>
    <t>Sulit membandingkan galat antar tinggi subjek.</t>
  </si>
  <si>
    <t>Hitung galat absolut dibagi tinggi aktual.</t>
  </si>
  <si>
    <t>Belum ada waktu proses.</t>
  </si>
  <si>
    <t>Performa aplikasi tidak terukur.</t>
  </si>
  <si>
    <t>Catat waktu proses per citra.</t>
  </si>
  <si>
    <t>Jarak kamera-board, jarak subjek-board, pencahayaan, dan sudut kamera belum dicatat.</t>
  </si>
  <si>
    <t>Pengujian sulit direplikasi.</t>
  </si>
  <si>
    <t>Tambahkan kondisi pengambilan pada catatan/protokol.</t>
  </si>
  <si>
    <t>Belum ada pengulangan dan simpangan baku.</t>
  </si>
  <si>
    <t>Konsistensi hasil belum diketahui.</t>
  </si>
  <si>
    <t>Lakukan minimal 3 ulangan per kondisi.</t>
  </si>
  <si>
    <t>Istilah 'Error absolut' sebaiknya menggunakan 'Galat absolut'.</t>
  </si>
  <si>
    <t>Istilah laporan kurang baku.</t>
  </si>
  <si>
    <t>Gunakan istilah galat absolut dan galat relatif.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</si>
</sst>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"/>
  </numFmts>
  <fonts count="6">
    <font>
      <sz val="11"/>
      <name val="Carlito"/>
    </font>
    <font>
      <b/>
      <sz val="16"/>
      <color rgb="FF000000"/>
      <name val="Carlito"/>
    </font>
    <font>
      <b/>
      <sz val="10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548235"/>
      </patternFill>
    </fill>
    <fill>
      <patternFill patternType="solid">
        <fgColor rgb="FFF2F7E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FCEFE8"/>
      </patternFill>
    </fill>
    <fill>
      <patternFill patternType="solid">
        <fgColor rgb="FFC6E0B4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1" fontId="0" fillId="5" borderId="8" xfId="0" applyNumberFormat="1" applyFill="1" applyBorder="1" applyAlignment="1">
      <alignment horizontal="center" vertical="center"/>
    </xf>
    <xf numFmtId="1" fontId="0" fillId="4" borderId="10" xfId="0" applyNumberFormat="1" applyFill="1" applyBorder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4" borderId="12" xfId="0" applyNumberFormat="1" applyFill="1" applyBorder="1" applyAlignment="1">
      <alignment horizontal="center" vertical="center"/>
    </xf>
    <xf numFmtId="1" fontId="0" fillId="4" borderId="13" xfId="0" applyNumberFormat="1" applyFill="1" applyBorder="1" applyAlignment="1">
      <alignment horizontal="center" vertical="center"/>
    </xf>
    <xf numFmtId="1" fontId="0" fillId="5" borderId="13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4" borderId="13" xfId="0" applyNumberFormat="1" applyFill="1" applyBorder="1" applyAlignment="1">
      <alignment horizontal="center" vertical="center"/>
    </xf>
    <xf numFmtId="165" fontId="0" fillId="4" borderId="8" xfId="0" applyNumberFormat="1" applyFill="1" applyBorder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5" fontId="0" fillId="4" borderId="13" xfId="0" applyNumberForma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0" fillId="4" borderId="11" xfId="0" applyNumberFormat="1" applyFill="1" applyBorder="1" applyAlignment="1">
      <alignment horizontal="center" vertical="center"/>
    </xf>
    <xf numFmtId="164" fontId="0" fillId="5" borderId="13" xfId="0" applyNumberFormat="1" applyFill="1" applyBorder="1" applyAlignment="1">
      <alignment horizontal="center" vertical="center"/>
    </xf>
    <xf numFmtId="164" fontId="0" fillId="4" borderId="14" xfId="0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1" fontId="0" fillId="6" borderId="7" xfId="0" applyNumberFormat="1" applyFill="1" applyBorder="1" applyAlignment="1">
      <alignment horizontal="center" vertical="center"/>
    </xf>
    <xf numFmtId="1" fontId="0" fillId="6" borderId="8" xfId="0" applyNumberFormat="1" applyFill="1" applyBorder="1" applyAlignment="1">
      <alignment horizontal="center" vertical="center"/>
    </xf>
    <xf numFmtId="1" fontId="0" fillId="6" borderId="10" xfId="0" applyNumberFormat="1" applyFill="1" applyBorder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1" fontId="0" fillId="6" borderId="12" xfId="0" applyNumberFormat="1" applyFill="1" applyBorder="1" applyAlignment="1">
      <alignment horizontal="center" vertical="center"/>
    </xf>
    <xf numFmtId="1" fontId="0" fillId="6" borderId="13" xfId="0" applyNumberFormat="1" applyFill="1" applyBorder="1" applyAlignment="1">
      <alignment horizontal="center" vertical="center"/>
    </xf>
    <xf numFmtId="164" fontId="0" fillId="6" borderId="8" xfId="0" applyNumberFormat="1" applyFill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4" fontId="0" fillId="6" borderId="13" xfId="0" applyNumberFormat="1" applyFill="1" applyBorder="1" applyAlignment="1">
      <alignment horizontal="center" vertical="center"/>
    </xf>
    <xf numFmtId="165" fontId="0" fillId="6" borderId="8" xfId="0" applyNumberFormat="1" applyFill="1" applyBorder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5" fontId="0" fillId="6" borderId="13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164" fontId="0" fillId="6" borderId="11" xfId="0" applyNumberFormat="1" applyFill="1" applyBorder="1" applyAlignment="1">
      <alignment horizontal="center" vertical="center"/>
    </xf>
    <xf numFmtId="164" fontId="0" fillId="6" borderId="14" xfId="0" applyNumberForma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1" fontId="0" fillId="7" borderId="7" xfId="0" applyNumberFormat="1" applyFill="1" applyBorder="1" applyAlignment="1">
      <alignment horizontal="center" vertical="center"/>
    </xf>
    <xf numFmtId="1" fontId="0" fillId="7" borderId="8" xfId="0" applyNumberFormat="1" applyFill="1" applyBorder="1" applyAlignment="1">
      <alignment horizontal="center" vertical="center"/>
    </xf>
    <xf numFmtId="1" fontId="0" fillId="7" borderId="10" xfId="0" applyNumberForma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" fontId="0" fillId="7" borderId="12" xfId="0" applyNumberFormat="1" applyFill="1" applyBorder="1" applyAlignment="1">
      <alignment horizontal="center" vertical="center"/>
    </xf>
    <xf numFmtId="1" fontId="0" fillId="7" borderId="13" xfId="0" applyNumberFormat="1" applyFill="1" applyBorder="1" applyAlignment="1">
      <alignment horizontal="center" vertical="center"/>
    </xf>
    <xf numFmtId="164" fontId="0" fillId="7" borderId="8" xfId="0" applyNumberFormat="1" applyFill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4" fontId="0" fillId="7" borderId="13" xfId="0" applyNumberFormat="1" applyFill="1" applyBorder="1" applyAlignment="1">
      <alignment horizontal="center" vertical="center"/>
    </xf>
    <xf numFmtId="165" fontId="0" fillId="7" borderId="8" xfId="0" applyNumberFormat="1" applyFill="1" applyBorder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165" fontId="0" fillId="7" borderId="13" xfId="0" applyNumberFormat="1" applyFill="1" applyBorder="1" applyAlignment="1">
      <alignment horizontal="center" vertical="center"/>
    </xf>
    <xf numFmtId="164" fontId="0" fillId="7" borderId="9" xfId="0" applyNumberFormat="1" applyFill="1" applyBorder="1" applyAlignment="1">
      <alignment horizontal="center" vertical="center"/>
    </xf>
    <xf numFmtId="164" fontId="0" fillId="7" borderId="11" xfId="0" applyNumberFormat="1" applyFill="1" applyBorder="1" applyAlignment="1">
      <alignment horizontal="center" vertical="center"/>
    </xf>
    <xf numFmtId="164" fontId="0" fillId="7" borderId="14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166" fontId="0" fillId="10" borderId="19" xfId="0" applyNumberFormat="1" applyFill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166" fontId="0" fillId="11" borderId="0" xfId="0" applyNumberForma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2" xfId="0" applyBorder="1" applyAlignment="1">
      <alignment vertical="center" wrapText="1"/>
    </xf>
    <xf numFmtId="166" fontId="0" fillId="10" borderId="0" xfId="0" applyNumberFormat="1" applyFill="1" applyAlignment="1">
      <alignment vertical="center" wrapText="1"/>
    </xf>
    <xf numFmtId="0" fontId="4" fillId="0" borderId="23" xfId="0" applyFont="1" applyBorder="1" applyAlignment="1">
      <alignment vertical="center" wrapText="1"/>
    </xf>
    <xf numFmtId="166" fontId="0" fillId="10" borderId="24" xfId="0" applyNumberFormat="1" applyFill="1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2" fontId="0" fillId="11" borderId="19" xfId="0" applyNumberFormat="1" applyFill="1" applyBorder="1" applyAlignment="1">
      <alignment horizontal="center" vertical="center"/>
    </xf>
    <xf numFmtId="2" fontId="0" fillId="11" borderId="0" xfId="0" applyNumberFormat="1" applyFill="1" applyAlignment="1">
      <alignment horizontal="center" vertical="center"/>
    </xf>
    <xf numFmtId="2" fontId="0" fillId="11" borderId="24" xfId="0" applyNumberFormat="1" applyFill="1" applyBorder="1" applyAlignment="1">
      <alignment horizontal="center" vertical="center"/>
    </xf>
    <xf numFmtId="10" fontId="0" fillId="11" borderId="19" xfId="0" applyNumberFormat="1" applyFill="1" applyBorder="1" applyAlignment="1">
      <alignment horizontal="center" vertical="center"/>
    </xf>
    <xf numFmtId="10" fontId="0" fillId="11" borderId="0" xfId="0" applyNumberFormat="1" applyFill="1" applyAlignment="1">
      <alignment horizontal="center" vertical="center"/>
    </xf>
    <xf numFmtId="10" fontId="0" fillId="11" borderId="24" xfId="0" applyNumberFormat="1" applyFill="1" applyBorder="1" applyAlignment="1">
      <alignment horizontal="center" vertical="center"/>
    </xf>
    <xf numFmtId="2" fontId="0" fillId="10" borderId="19" xfId="0" applyNumberFormat="1" applyFill="1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2" fontId="0" fillId="10" borderId="24" xfId="0" applyNumberFormat="1" applyFill="1" applyBorder="1" applyAlignment="1">
      <alignment horizontal="center" vertical="center"/>
    </xf>
    <xf numFmtId="0" fontId="0" fillId="10" borderId="20" xfId="0" applyFill="1" applyBorder="1" applyAlignment="1">
      <alignment vertical="center" wrapText="1"/>
    </xf>
    <xf numFmtId="0" fontId="0" fillId="10" borderId="22" xfId="0" applyFill="1" applyBorder="1" applyAlignment="1">
      <alignment vertical="center" wrapText="1"/>
    </xf>
    <xf numFmtId="0" fontId="0" fillId="10" borderId="25" xfId="0" applyFill="1" applyBorder="1" applyAlignment="1">
      <alignment vertical="center" wrapText="1"/>
    </xf>
    <xf numFmtId="2" fontId="0" fillId="11" borderId="19" xfId="0" applyNumberFormat="1" applyFill="1" applyBorder="1" applyAlignment="1">
      <alignment vertical="center" wrapText="1"/>
    </xf>
    <xf numFmtId="2" fontId="0" fillId="11" borderId="0" xfId="0" applyNumberFormat="1" applyFill="1" applyAlignment="1">
      <alignment vertical="center" wrapText="1"/>
    </xf>
    <xf numFmtId="10" fontId="0" fillId="11" borderId="0" xfId="0" applyNumberFormat="1" applyFill="1" applyAlignment="1">
      <alignment vertical="center" wrapText="1"/>
    </xf>
    <xf numFmtId="2" fontId="0" fillId="11" borderId="24" xfId="0" applyNumberFormat="1" applyFill="1" applyBorder="1" applyAlignment="1">
      <alignment vertical="center" wrapText="1"/>
    </xf>
    <xf numFmtId="0" fontId="0" fillId="12" borderId="18" xfId="0" applyFill="1" applyBorder="1" applyAlignment="1">
      <alignment vertical="center" wrapText="1"/>
    </xf>
    <xf numFmtId="0" fontId="0" fillId="12" borderId="21" xfId="0" applyFill="1" applyBorder="1" applyAlignment="1">
      <alignment vertical="center" wrapText="1"/>
    </xf>
    <xf numFmtId="0" fontId="0" fillId="12" borderId="23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14" borderId="18" xfId="0" applyFill="1" applyBorder="1" applyAlignment="1">
      <alignment vertical="center" wrapText="1"/>
    </xf>
    <xf numFmtId="0" fontId="0" fillId="14" borderId="21" xfId="0" applyFill="1" applyBorder="1" applyAlignment="1">
      <alignment vertical="center" wrapText="1"/>
    </xf>
    <xf numFmtId="0" fontId="0" fillId="14" borderId="23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5" fillId="1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sqref="A1:J1"/>
    </sheetView>
  </sheetViews>
  <sheetFormatPr defaultRowHeight="14.25"/>
  <cols>
    <col min="1" max="1" width="16" customWidth="1"/>
    <col min="2" max="2" width="15" customWidth="1"/>
    <col min="3" max="3" width="20" customWidth="1"/>
    <col min="4" max="4" width="18" customWidth="1"/>
    <col min="5" max="6" width="17" customWidth="1"/>
    <col min="7" max="7" width="18" customWidth="1"/>
    <col min="8" max="10" width="14" customWidth="1"/>
  </cols>
  <sheetData>
    <row r="1" spans="1:10" ht="33.950000000000003" customHeight="1">
      <c r="A1" s="136" t="s">
        <v>0</v>
      </c>
      <c r="B1" s="137"/>
      <c r="C1" s="137"/>
      <c r="D1" s="137"/>
      <c r="E1" s="137"/>
      <c r="F1" s="137"/>
      <c r="G1" s="137"/>
      <c r="H1" s="137"/>
      <c r="I1" s="137"/>
      <c r="J1" s="138"/>
    </row>
    <row r="3" spans="1:10" ht="44.1" customHeigh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3" t="s">
        <v>10</v>
      </c>
    </row>
    <row r="4" spans="1:10" ht="27.95" customHeight="1">
      <c r="A4" s="68">
        <v>100</v>
      </c>
      <c r="B4" s="69">
        <f>COUNTA('PX 100'!B5:B19)</f>
        <v>15</v>
      </c>
      <c r="C4" s="74">
        <f>'PX 100'!G5</f>
        <v>1935.0000000000002</v>
      </c>
      <c r="D4" s="77">
        <f>'PX 100'!H5</f>
        <v>0.10335917312661498</v>
      </c>
      <c r="E4" s="74">
        <f>'PX 100'!I5</f>
        <v>1100</v>
      </c>
      <c r="F4" s="74">
        <f>'PX 100'!J5</f>
        <v>2530</v>
      </c>
      <c r="G4" s="69">
        <f>COUNT('PX 100'!M5:M19)</f>
        <v>15</v>
      </c>
      <c r="H4" s="74">
        <f>AVERAGE('PX 100'!N5:N19)</f>
        <v>2.3266666666666671</v>
      </c>
      <c r="I4" s="74">
        <f>MIN('PX 100'!N5:N19)</f>
        <v>0.40000000000000568</v>
      </c>
      <c r="J4" s="80">
        <f>MAX('PX 100'!N5:N19)</f>
        <v>8</v>
      </c>
    </row>
    <row r="5" spans="1:10" ht="27.95" customHeight="1">
      <c r="A5" s="70">
        <v>120</v>
      </c>
      <c r="B5" s="71">
        <f>COUNTA('PX 120'!B5:B19)</f>
        <v>15</v>
      </c>
      <c r="C5" s="75">
        <f>'PX 120'!G5</f>
        <v>2322</v>
      </c>
      <c r="D5" s="78">
        <f>'PX 120'!H5</f>
        <v>8.6132644272179162E-2</v>
      </c>
      <c r="E5" s="75">
        <f>'PX 120'!I5</f>
        <v>1320</v>
      </c>
      <c r="F5" s="75">
        <f>'PX 120'!J5</f>
        <v>3036</v>
      </c>
      <c r="G5" s="71">
        <f>COUNT('PX 120'!M5:M19)</f>
        <v>15</v>
      </c>
      <c r="H5" s="75">
        <f>AVERAGE('PX 120'!N5:N19)</f>
        <v>1.8666666666666647</v>
      </c>
      <c r="I5" s="75">
        <f>MIN('PX 120'!N5:N19)</f>
        <v>9.9999999999994316E-2</v>
      </c>
      <c r="J5" s="81">
        <f>MAX('PX 120'!N5:N19)</f>
        <v>3.4000000000000057</v>
      </c>
    </row>
    <row r="6" spans="1:10" ht="27.95" customHeight="1">
      <c r="A6" s="72">
        <v>150</v>
      </c>
      <c r="B6" s="73">
        <f>COUNTA('PX 150'!B5:B19)</f>
        <v>15</v>
      </c>
      <c r="C6" s="76">
        <f>'PX 150'!G5</f>
        <v>2902.5</v>
      </c>
      <c r="D6" s="79">
        <f>'PX 150'!H5</f>
        <v>6.890611541774333E-2</v>
      </c>
      <c r="E6" s="76">
        <f>'PX 150'!I5</f>
        <v>1650</v>
      </c>
      <c r="F6" s="76">
        <f>'PX 150'!J5</f>
        <v>3795</v>
      </c>
      <c r="G6" s="73">
        <f>COUNT('PX 150'!M5:M19)</f>
        <v>15</v>
      </c>
      <c r="H6" s="76">
        <f>AVERAGE('PX 150'!N5:N19)</f>
        <v>2.4666666666666686</v>
      </c>
      <c r="I6" s="76">
        <f>MIN('PX 150'!N5:N19)</f>
        <v>0.19999999999998863</v>
      </c>
      <c r="J6" s="82">
        <f>MAX('PX 150'!N5:N19)</f>
        <v>7.4000000000000057</v>
      </c>
    </row>
  </sheetData>
  <mergeCells count="1">
    <mergeCell ref="A1:J1"/>
  </mergeCells>
  <conditionalFormatting sqref="H4:H6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workbookViewId="0"/>
  </sheetViews>
  <sheetFormatPr defaultRowHeight="14.25"/>
  <cols>
    <col min="1" max="1" width="7" customWidth="1"/>
    <col min="2" max="2" width="9" customWidth="1"/>
    <col min="3" max="3" width="14" customWidth="1"/>
    <col min="4" max="4" width="18" customWidth="1"/>
    <col min="5" max="5" width="14" customWidth="1"/>
    <col min="6" max="6" width="17" customWidth="1"/>
    <col min="7" max="7" width="19" customWidth="1"/>
    <col min="8" max="8" width="17" customWidth="1"/>
    <col min="9" max="9" width="15" customWidth="1"/>
    <col min="10" max="10" width="18" customWidth="1"/>
    <col min="11" max="11" width="17" customWidth="1"/>
    <col min="12" max="12" width="18" customWidth="1"/>
    <col min="13" max="14" width="16" customWidth="1"/>
  </cols>
  <sheetData>
    <row r="1" spans="1:14" ht="33.950000000000003" customHeight="1">
      <c r="A1" s="136" t="s">
        <v>11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8"/>
    </row>
    <row r="4" spans="1:14" ht="44.1" customHeight="1">
      <c r="A4" s="1" t="s">
        <v>12</v>
      </c>
      <c r="B4" s="2" t="s">
        <v>13</v>
      </c>
      <c r="C4" s="2" t="s">
        <v>1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4</v>
      </c>
      <c r="I4" s="2" t="s">
        <v>5</v>
      </c>
      <c r="J4" s="2" t="s">
        <v>18</v>
      </c>
      <c r="K4" s="2" t="s">
        <v>19</v>
      </c>
      <c r="L4" s="2" t="s">
        <v>20</v>
      </c>
      <c r="M4" s="2" t="s">
        <v>21</v>
      </c>
      <c r="N4" s="3" t="s">
        <v>22</v>
      </c>
    </row>
    <row r="5" spans="1:14" ht="24.95" customHeight="1">
      <c r="A5" s="10">
        <v>1</v>
      </c>
      <c r="B5" s="11" t="s">
        <v>23</v>
      </c>
      <c r="C5" s="11">
        <v>100</v>
      </c>
      <c r="D5" s="12"/>
      <c r="E5" s="4" t="s">
        <v>24</v>
      </c>
      <c r="F5" s="7" t="s">
        <v>25</v>
      </c>
      <c r="G5" s="19">
        <f t="shared" ref="G5:G19" si="0">C5*19.35</f>
        <v>1935.0000000000002</v>
      </c>
      <c r="H5" s="22">
        <f t="shared" ref="H5:H19" si="1">200/G5</f>
        <v>0.10335917312661498</v>
      </c>
      <c r="I5" s="19">
        <f t="shared" ref="I5:I19" si="2">C5*11</f>
        <v>1100</v>
      </c>
      <c r="J5" s="19">
        <f t="shared" ref="J5:J19" si="3">C5*25.3</f>
        <v>2530</v>
      </c>
      <c r="K5" s="7" t="s">
        <v>26</v>
      </c>
      <c r="L5" s="19">
        <v>169</v>
      </c>
      <c r="M5" s="25">
        <v>161</v>
      </c>
      <c r="N5" s="26">
        <f t="shared" ref="N5:N19" si="4">ABS(M5-L5)</f>
        <v>8</v>
      </c>
    </row>
    <row r="6" spans="1:14" ht="24.95" customHeight="1">
      <c r="A6" s="13">
        <v>2</v>
      </c>
      <c r="B6" s="14" t="s">
        <v>27</v>
      </c>
      <c r="C6" s="14">
        <v>100</v>
      </c>
      <c r="D6" s="15"/>
      <c r="E6" s="5" t="s">
        <v>24</v>
      </c>
      <c r="F6" s="8" t="s">
        <v>25</v>
      </c>
      <c r="G6" s="20">
        <f t="shared" si="0"/>
        <v>1935.0000000000002</v>
      </c>
      <c r="H6" s="23">
        <f t="shared" si="1"/>
        <v>0.10335917312661498</v>
      </c>
      <c r="I6" s="20">
        <f t="shared" si="2"/>
        <v>1100</v>
      </c>
      <c r="J6" s="20">
        <f t="shared" si="3"/>
        <v>2530</v>
      </c>
      <c r="K6" s="8" t="s">
        <v>26</v>
      </c>
      <c r="L6" s="20">
        <v>160</v>
      </c>
      <c r="M6" s="27">
        <v>160.4</v>
      </c>
      <c r="N6" s="28">
        <f t="shared" si="4"/>
        <v>0.40000000000000568</v>
      </c>
    </row>
    <row r="7" spans="1:14" ht="24.95" customHeight="1">
      <c r="A7" s="13">
        <v>3</v>
      </c>
      <c r="B7" s="14" t="s">
        <v>28</v>
      </c>
      <c r="C7" s="14">
        <v>100</v>
      </c>
      <c r="D7" s="15"/>
      <c r="E7" s="5" t="s">
        <v>24</v>
      </c>
      <c r="F7" s="8" t="s">
        <v>25</v>
      </c>
      <c r="G7" s="20">
        <f t="shared" si="0"/>
        <v>1935.0000000000002</v>
      </c>
      <c r="H7" s="23">
        <f t="shared" si="1"/>
        <v>0.10335917312661498</v>
      </c>
      <c r="I7" s="20">
        <f t="shared" si="2"/>
        <v>1100</v>
      </c>
      <c r="J7" s="20">
        <f t="shared" si="3"/>
        <v>2530</v>
      </c>
      <c r="K7" s="8" t="s">
        <v>26</v>
      </c>
      <c r="L7" s="20">
        <v>168</v>
      </c>
      <c r="M7" s="27">
        <v>169.4</v>
      </c>
      <c r="N7" s="28">
        <f t="shared" si="4"/>
        <v>1.4000000000000057</v>
      </c>
    </row>
    <row r="8" spans="1:14" ht="24.95" customHeight="1">
      <c r="A8" s="13">
        <v>4</v>
      </c>
      <c r="B8" s="14" t="s">
        <v>29</v>
      </c>
      <c r="C8" s="14">
        <v>100</v>
      </c>
      <c r="D8" s="15"/>
      <c r="E8" s="5" t="s">
        <v>24</v>
      </c>
      <c r="F8" s="8" t="s">
        <v>25</v>
      </c>
      <c r="G8" s="20">
        <f t="shared" si="0"/>
        <v>1935.0000000000002</v>
      </c>
      <c r="H8" s="23">
        <f t="shared" si="1"/>
        <v>0.10335917312661498</v>
      </c>
      <c r="I8" s="20">
        <f t="shared" si="2"/>
        <v>1100</v>
      </c>
      <c r="J8" s="20">
        <f t="shared" si="3"/>
        <v>2530</v>
      </c>
      <c r="K8" s="8" t="s">
        <v>26</v>
      </c>
      <c r="L8" s="20">
        <v>153</v>
      </c>
      <c r="M8" s="27">
        <v>149.19999999999999</v>
      </c>
      <c r="N8" s="28">
        <f t="shared" si="4"/>
        <v>3.8000000000000114</v>
      </c>
    </row>
    <row r="9" spans="1:14" ht="24.95" customHeight="1">
      <c r="A9" s="13">
        <v>5</v>
      </c>
      <c r="B9" s="14" t="s">
        <v>30</v>
      </c>
      <c r="C9" s="14">
        <v>100</v>
      </c>
      <c r="D9" s="15"/>
      <c r="E9" s="5" t="s">
        <v>24</v>
      </c>
      <c r="F9" s="8" t="s">
        <v>25</v>
      </c>
      <c r="G9" s="20">
        <f t="shared" si="0"/>
        <v>1935.0000000000002</v>
      </c>
      <c r="H9" s="23">
        <f t="shared" si="1"/>
        <v>0.10335917312661498</v>
      </c>
      <c r="I9" s="20">
        <f t="shared" si="2"/>
        <v>1100</v>
      </c>
      <c r="J9" s="20">
        <f t="shared" si="3"/>
        <v>2530</v>
      </c>
      <c r="K9" s="8" t="s">
        <v>26</v>
      </c>
      <c r="L9" s="20">
        <v>164</v>
      </c>
      <c r="M9" s="27">
        <v>162.4</v>
      </c>
      <c r="N9" s="28">
        <f t="shared" si="4"/>
        <v>1.5999999999999943</v>
      </c>
    </row>
    <row r="10" spans="1:14" ht="24.95" customHeight="1">
      <c r="A10" s="13">
        <v>6</v>
      </c>
      <c r="B10" s="14" t="s">
        <v>31</v>
      </c>
      <c r="C10" s="14">
        <v>100</v>
      </c>
      <c r="D10" s="15"/>
      <c r="E10" s="5" t="s">
        <v>24</v>
      </c>
      <c r="F10" s="8" t="s">
        <v>25</v>
      </c>
      <c r="G10" s="20">
        <f t="shared" si="0"/>
        <v>1935.0000000000002</v>
      </c>
      <c r="H10" s="23">
        <f t="shared" si="1"/>
        <v>0.10335917312661498</v>
      </c>
      <c r="I10" s="20">
        <f t="shared" si="2"/>
        <v>1100</v>
      </c>
      <c r="J10" s="20">
        <f t="shared" si="3"/>
        <v>2530</v>
      </c>
      <c r="K10" s="8" t="s">
        <v>26</v>
      </c>
      <c r="L10" s="20">
        <v>167</v>
      </c>
      <c r="M10" s="27">
        <v>164.4</v>
      </c>
      <c r="N10" s="28">
        <f t="shared" si="4"/>
        <v>2.5999999999999943</v>
      </c>
    </row>
    <row r="11" spans="1:14" ht="24.95" customHeight="1">
      <c r="A11" s="13">
        <v>7</v>
      </c>
      <c r="B11" s="14" t="s">
        <v>32</v>
      </c>
      <c r="C11" s="14">
        <v>100</v>
      </c>
      <c r="D11" s="15"/>
      <c r="E11" s="5" t="s">
        <v>24</v>
      </c>
      <c r="F11" s="8" t="s">
        <v>25</v>
      </c>
      <c r="G11" s="20">
        <f t="shared" si="0"/>
        <v>1935.0000000000002</v>
      </c>
      <c r="H11" s="23">
        <f t="shared" si="1"/>
        <v>0.10335917312661498</v>
      </c>
      <c r="I11" s="20">
        <f t="shared" si="2"/>
        <v>1100</v>
      </c>
      <c r="J11" s="20">
        <f t="shared" si="3"/>
        <v>2530</v>
      </c>
      <c r="K11" s="8" t="s">
        <v>26</v>
      </c>
      <c r="L11" s="20">
        <v>157</v>
      </c>
      <c r="M11" s="27">
        <v>154.9</v>
      </c>
      <c r="N11" s="28">
        <f t="shared" si="4"/>
        <v>2.0999999999999943</v>
      </c>
    </row>
    <row r="12" spans="1:14" ht="24.95" customHeight="1">
      <c r="A12" s="13">
        <v>8</v>
      </c>
      <c r="B12" s="14" t="s">
        <v>33</v>
      </c>
      <c r="C12" s="14">
        <v>100</v>
      </c>
      <c r="D12" s="15"/>
      <c r="E12" s="5" t="s">
        <v>24</v>
      </c>
      <c r="F12" s="8" t="s">
        <v>25</v>
      </c>
      <c r="G12" s="20">
        <f t="shared" si="0"/>
        <v>1935.0000000000002</v>
      </c>
      <c r="H12" s="23">
        <f t="shared" si="1"/>
        <v>0.10335917312661498</v>
      </c>
      <c r="I12" s="20">
        <f t="shared" si="2"/>
        <v>1100</v>
      </c>
      <c r="J12" s="20">
        <f t="shared" si="3"/>
        <v>2530</v>
      </c>
      <c r="K12" s="8" t="s">
        <v>26</v>
      </c>
      <c r="L12" s="20">
        <v>152</v>
      </c>
      <c r="M12" s="27">
        <v>152.9</v>
      </c>
      <c r="N12" s="28">
        <f t="shared" si="4"/>
        <v>0.90000000000000568</v>
      </c>
    </row>
    <row r="13" spans="1:14" ht="24.95" customHeight="1">
      <c r="A13" s="13">
        <v>9</v>
      </c>
      <c r="B13" s="14" t="s">
        <v>34</v>
      </c>
      <c r="C13" s="14">
        <v>100</v>
      </c>
      <c r="D13" s="15"/>
      <c r="E13" s="5" t="s">
        <v>24</v>
      </c>
      <c r="F13" s="8" t="s">
        <v>25</v>
      </c>
      <c r="G13" s="20">
        <f t="shared" si="0"/>
        <v>1935.0000000000002</v>
      </c>
      <c r="H13" s="23">
        <f t="shared" si="1"/>
        <v>0.10335917312661498</v>
      </c>
      <c r="I13" s="20">
        <f t="shared" si="2"/>
        <v>1100</v>
      </c>
      <c r="J13" s="20">
        <f t="shared" si="3"/>
        <v>2530</v>
      </c>
      <c r="K13" s="8" t="s">
        <v>26</v>
      </c>
      <c r="L13" s="20">
        <v>166</v>
      </c>
      <c r="M13" s="27">
        <v>169.1</v>
      </c>
      <c r="N13" s="28">
        <f t="shared" si="4"/>
        <v>3.0999999999999943</v>
      </c>
    </row>
    <row r="14" spans="1:14" ht="24.95" customHeight="1">
      <c r="A14" s="13">
        <v>10</v>
      </c>
      <c r="B14" s="14" t="s">
        <v>35</v>
      </c>
      <c r="C14" s="14">
        <v>100</v>
      </c>
      <c r="D14" s="15"/>
      <c r="E14" s="5" t="s">
        <v>24</v>
      </c>
      <c r="F14" s="8" t="s">
        <v>25</v>
      </c>
      <c r="G14" s="20">
        <f t="shared" si="0"/>
        <v>1935.0000000000002</v>
      </c>
      <c r="H14" s="23">
        <f t="shared" si="1"/>
        <v>0.10335917312661498</v>
      </c>
      <c r="I14" s="20">
        <f t="shared" si="2"/>
        <v>1100</v>
      </c>
      <c r="J14" s="20">
        <f t="shared" si="3"/>
        <v>2530</v>
      </c>
      <c r="K14" s="8" t="s">
        <v>26</v>
      </c>
      <c r="L14" s="20">
        <v>165</v>
      </c>
      <c r="M14" s="27">
        <v>162.69999999999999</v>
      </c>
      <c r="N14" s="28">
        <f t="shared" si="4"/>
        <v>2.3000000000000114</v>
      </c>
    </row>
    <row r="15" spans="1:14" ht="24.95" customHeight="1">
      <c r="A15" s="13">
        <v>11</v>
      </c>
      <c r="B15" s="14" t="s">
        <v>36</v>
      </c>
      <c r="C15" s="14">
        <v>100</v>
      </c>
      <c r="D15" s="15"/>
      <c r="E15" s="5" t="s">
        <v>24</v>
      </c>
      <c r="F15" s="8" t="s">
        <v>26</v>
      </c>
      <c r="G15" s="20">
        <f t="shared" si="0"/>
        <v>1935.0000000000002</v>
      </c>
      <c r="H15" s="23">
        <f t="shared" si="1"/>
        <v>0.10335917312661498</v>
      </c>
      <c r="I15" s="20">
        <f t="shared" si="2"/>
        <v>1100</v>
      </c>
      <c r="J15" s="20">
        <f t="shared" si="3"/>
        <v>2530</v>
      </c>
      <c r="K15" s="8" t="s">
        <v>25</v>
      </c>
      <c r="L15" s="20">
        <v>166</v>
      </c>
      <c r="M15" s="27">
        <v>163.9</v>
      </c>
      <c r="N15" s="28">
        <f t="shared" si="4"/>
        <v>2.0999999999999943</v>
      </c>
    </row>
    <row r="16" spans="1:14" ht="24.95" customHeight="1">
      <c r="A16" s="13">
        <v>12</v>
      </c>
      <c r="B16" s="14" t="s">
        <v>37</v>
      </c>
      <c r="C16" s="14">
        <v>100</v>
      </c>
      <c r="D16" s="15"/>
      <c r="E16" s="5" t="s">
        <v>24</v>
      </c>
      <c r="F16" s="8" t="s">
        <v>25</v>
      </c>
      <c r="G16" s="20">
        <f t="shared" si="0"/>
        <v>1935.0000000000002</v>
      </c>
      <c r="H16" s="23">
        <f t="shared" si="1"/>
        <v>0.10335917312661498</v>
      </c>
      <c r="I16" s="20">
        <f t="shared" si="2"/>
        <v>1100</v>
      </c>
      <c r="J16" s="20">
        <f t="shared" si="3"/>
        <v>2530</v>
      </c>
      <c r="K16" s="8" t="s">
        <v>26</v>
      </c>
      <c r="L16" s="20">
        <v>162</v>
      </c>
      <c r="M16" s="27">
        <v>159.9</v>
      </c>
      <c r="N16" s="28">
        <f t="shared" si="4"/>
        <v>2.0999999999999943</v>
      </c>
    </row>
    <row r="17" spans="1:14" ht="24.95" customHeight="1">
      <c r="A17" s="13">
        <v>13</v>
      </c>
      <c r="B17" s="14" t="s">
        <v>38</v>
      </c>
      <c r="C17" s="14">
        <v>100</v>
      </c>
      <c r="D17" s="15"/>
      <c r="E17" s="5" t="s">
        <v>24</v>
      </c>
      <c r="F17" s="8" t="s">
        <v>25</v>
      </c>
      <c r="G17" s="20">
        <f t="shared" si="0"/>
        <v>1935.0000000000002</v>
      </c>
      <c r="H17" s="23">
        <f t="shared" si="1"/>
        <v>0.10335917312661498</v>
      </c>
      <c r="I17" s="20">
        <f t="shared" si="2"/>
        <v>1100</v>
      </c>
      <c r="J17" s="20">
        <f t="shared" si="3"/>
        <v>2530</v>
      </c>
      <c r="K17" s="8" t="s">
        <v>26</v>
      </c>
      <c r="L17" s="20">
        <v>164</v>
      </c>
      <c r="M17" s="27">
        <v>162.80000000000001</v>
      </c>
      <c r="N17" s="28">
        <f t="shared" si="4"/>
        <v>1.1999999999999886</v>
      </c>
    </row>
    <row r="18" spans="1:14" ht="24.95" customHeight="1">
      <c r="A18" s="13">
        <v>14</v>
      </c>
      <c r="B18" s="14" t="s">
        <v>39</v>
      </c>
      <c r="C18" s="14">
        <v>100</v>
      </c>
      <c r="D18" s="15"/>
      <c r="E18" s="5" t="s">
        <v>24</v>
      </c>
      <c r="F18" s="8" t="s">
        <v>25</v>
      </c>
      <c r="G18" s="20">
        <f t="shared" si="0"/>
        <v>1935.0000000000002</v>
      </c>
      <c r="H18" s="23">
        <f t="shared" si="1"/>
        <v>0.10335917312661498</v>
      </c>
      <c r="I18" s="20">
        <f t="shared" si="2"/>
        <v>1100</v>
      </c>
      <c r="J18" s="20">
        <f t="shared" si="3"/>
        <v>2530</v>
      </c>
      <c r="K18" s="8" t="s">
        <v>26</v>
      </c>
      <c r="L18" s="20">
        <v>161</v>
      </c>
      <c r="M18" s="27">
        <v>162.80000000000001</v>
      </c>
      <c r="N18" s="28">
        <f t="shared" si="4"/>
        <v>1.8000000000000114</v>
      </c>
    </row>
    <row r="19" spans="1:14" ht="24.95" customHeight="1">
      <c r="A19" s="16">
        <v>15</v>
      </c>
      <c r="B19" s="17" t="s">
        <v>40</v>
      </c>
      <c r="C19" s="17">
        <v>100</v>
      </c>
      <c r="D19" s="18"/>
      <c r="E19" s="6" t="s">
        <v>24</v>
      </c>
      <c r="F19" s="9" t="s">
        <v>25</v>
      </c>
      <c r="G19" s="21">
        <f t="shared" si="0"/>
        <v>1935.0000000000002</v>
      </c>
      <c r="H19" s="24">
        <f t="shared" si="1"/>
        <v>0.10335917312661498</v>
      </c>
      <c r="I19" s="21">
        <f t="shared" si="2"/>
        <v>1100</v>
      </c>
      <c r="J19" s="21">
        <f t="shared" si="3"/>
        <v>2530</v>
      </c>
      <c r="K19" s="9" t="s">
        <v>26</v>
      </c>
      <c r="L19" s="21">
        <v>175</v>
      </c>
      <c r="M19" s="29">
        <v>176.5</v>
      </c>
      <c r="N19" s="30">
        <f t="shared" si="4"/>
        <v>1.5</v>
      </c>
    </row>
  </sheetData>
  <mergeCells count="1">
    <mergeCell ref="A1:N1"/>
  </mergeCells>
  <conditionalFormatting sqref="N5:N19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dataValidations count="2">
    <dataValidation type="list" sqref="E5:E19" xr:uid="{00000000-0002-0000-0100-000000000000}">
      <formula1>"Berhasil,Gagal"</formula1>
    </dataValidation>
    <dataValidation type="list" sqref="F5:F19 K5:K19" xr:uid="{00000000-0002-0000-0100-000001000000}">
      <formula1>"Ya,Tidak"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"/>
  <sheetViews>
    <sheetView workbookViewId="0"/>
  </sheetViews>
  <sheetFormatPr defaultRowHeight="14.25"/>
  <cols>
    <col min="1" max="1" width="7" customWidth="1"/>
    <col min="2" max="2" width="9" customWidth="1"/>
    <col min="3" max="3" width="14" customWidth="1"/>
    <col min="4" max="4" width="18" customWidth="1"/>
    <col min="5" max="5" width="14" customWidth="1"/>
    <col min="6" max="6" width="17" customWidth="1"/>
    <col min="7" max="7" width="19" customWidth="1"/>
    <col min="8" max="8" width="17" customWidth="1"/>
    <col min="9" max="9" width="15" customWidth="1"/>
    <col min="10" max="10" width="18" customWidth="1"/>
    <col min="11" max="11" width="17" customWidth="1"/>
    <col min="12" max="12" width="18" customWidth="1"/>
    <col min="13" max="14" width="16" customWidth="1"/>
  </cols>
  <sheetData>
    <row r="1" spans="1:14" ht="33.950000000000003" customHeight="1">
      <c r="A1" s="136" t="s">
        <v>41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8"/>
    </row>
    <row r="4" spans="1:14" ht="44.1" customHeight="1">
      <c r="A4" s="1" t="s">
        <v>12</v>
      </c>
      <c r="B4" s="2" t="s">
        <v>13</v>
      </c>
      <c r="C4" s="2" t="s">
        <v>1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4</v>
      </c>
      <c r="I4" s="2" t="s">
        <v>5</v>
      </c>
      <c r="J4" s="2" t="s">
        <v>18</v>
      </c>
      <c r="K4" s="2" t="s">
        <v>19</v>
      </c>
      <c r="L4" s="2" t="s">
        <v>20</v>
      </c>
      <c r="M4" s="2" t="s">
        <v>21</v>
      </c>
      <c r="N4" s="3" t="s">
        <v>22</v>
      </c>
    </row>
    <row r="5" spans="1:14" ht="24.95" customHeight="1">
      <c r="A5" s="34">
        <v>1</v>
      </c>
      <c r="B5" s="35" t="s">
        <v>23</v>
      </c>
      <c r="C5" s="35">
        <v>120</v>
      </c>
      <c r="D5" s="12"/>
      <c r="E5" s="31" t="s">
        <v>24</v>
      </c>
      <c r="F5" s="7" t="s">
        <v>25</v>
      </c>
      <c r="G5" s="40">
        <f t="shared" ref="G5:G19" si="0">C5*19.35</f>
        <v>2322</v>
      </c>
      <c r="H5" s="43">
        <f t="shared" ref="H5:H19" si="1">200/G5</f>
        <v>8.6132644272179162E-2</v>
      </c>
      <c r="I5" s="40">
        <f t="shared" ref="I5:I19" si="2">C5*11</f>
        <v>1320</v>
      </c>
      <c r="J5" s="40">
        <f t="shared" ref="J5:J19" si="3">C5*25.3</f>
        <v>3036</v>
      </c>
      <c r="K5" s="7" t="s">
        <v>26</v>
      </c>
      <c r="L5" s="40">
        <v>169</v>
      </c>
      <c r="M5" s="25">
        <v>167.3</v>
      </c>
      <c r="N5" s="46">
        <f t="shared" ref="N5:N19" si="4">ABS(M5-L5)</f>
        <v>1.6999999999999886</v>
      </c>
    </row>
    <row r="6" spans="1:14" ht="24.95" customHeight="1">
      <c r="A6" s="36">
        <v>2</v>
      </c>
      <c r="B6" s="37" t="s">
        <v>27</v>
      </c>
      <c r="C6" s="37">
        <v>120</v>
      </c>
      <c r="D6" s="15"/>
      <c r="E6" s="32" t="s">
        <v>24</v>
      </c>
      <c r="F6" s="8" t="s">
        <v>25</v>
      </c>
      <c r="G6" s="41">
        <f t="shared" si="0"/>
        <v>2322</v>
      </c>
      <c r="H6" s="44">
        <f t="shared" si="1"/>
        <v>8.6132644272179162E-2</v>
      </c>
      <c r="I6" s="41">
        <f t="shared" si="2"/>
        <v>1320</v>
      </c>
      <c r="J6" s="41">
        <f t="shared" si="3"/>
        <v>3036</v>
      </c>
      <c r="K6" s="8" t="s">
        <v>26</v>
      </c>
      <c r="L6" s="41">
        <v>160</v>
      </c>
      <c r="M6" s="27">
        <v>159.9</v>
      </c>
      <c r="N6" s="47">
        <f t="shared" si="4"/>
        <v>9.9999999999994316E-2</v>
      </c>
    </row>
    <row r="7" spans="1:14" ht="24.95" customHeight="1">
      <c r="A7" s="36">
        <v>3</v>
      </c>
      <c r="B7" s="37" t="s">
        <v>28</v>
      </c>
      <c r="C7" s="37">
        <v>120</v>
      </c>
      <c r="D7" s="15"/>
      <c r="E7" s="32" t="s">
        <v>24</v>
      </c>
      <c r="F7" s="8" t="s">
        <v>25</v>
      </c>
      <c r="G7" s="41">
        <f t="shared" si="0"/>
        <v>2322</v>
      </c>
      <c r="H7" s="44">
        <f t="shared" si="1"/>
        <v>8.6132644272179162E-2</v>
      </c>
      <c r="I7" s="41">
        <f t="shared" si="2"/>
        <v>1320</v>
      </c>
      <c r="J7" s="41">
        <f t="shared" si="3"/>
        <v>3036</v>
      </c>
      <c r="K7" s="8" t="s">
        <v>26</v>
      </c>
      <c r="L7" s="41">
        <v>168</v>
      </c>
      <c r="M7" s="27">
        <v>168.6</v>
      </c>
      <c r="N7" s="47">
        <f t="shared" si="4"/>
        <v>0.59999999999999432</v>
      </c>
    </row>
    <row r="8" spans="1:14" ht="24.95" customHeight="1">
      <c r="A8" s="36">
        <v>4</v>
      </c>
      <c r="B8" s="37" t="s">
        <v>29</v>
      </c>
      <c r="C8" s="37">
        <v>120</v>
      </c>
      <c r="D8" s="15"/>
      <c r="E8" s="32" t="s">
        <v>24</v>
      </c>
      <c r="F8" s="8" t="s">
        <v>25</v>
      </c>
      <c r="G8" s="41">
        <f t="shared" si="0"/>
        <v>2322</v>
      </c>
      <c r="H8" s="44">
        <f t="shared" si="1"/>
        <v>8.6132644272179162E-2</v>
      </c>
      <c r="I8" s="41">
        <f t="shared" si="2"/>
        <v>1320</v>
      </c>
      <c r="J8" s="41">
        <f t="shared" si="3"/>
        <v>3036</v>
      </c>
      <c r="K8" s="8" t="s">
        <v>26</v>
      </c>
      <c r="L8" s="41">
        <v>153</v>
      </c>
      <c r="M8" s="27">
        <v>150.1</v>
      </c>
      <c r="N8" s="47">
        <f t="shared" si="4"/>
        <v>2.9000000000000057</v>
      </c>
    </row>
    <row r="9" spans="1:14" ht="24.95" customHeight="1">
      <c r="A9" s="36">
        <v>5</v>
      </c>
      <c r="B9" s="37" t="s">
        <v>30</v>
      </c>
      <c r="C9" s="37">
        <v>120</v>
      </c>
      <c r="D9" s="15"/>
      <c r="E9" s="32" t="s">
        <v>24</v>
      </c>
      <c r="F9" s="8" t="s">
        <v>25</v>
      </c>
      <c r="G9" s="41">
        <f t="shared" si="0"/>
        <v>2322</v>
      </c>
      <c r="H9" s="44">
        <f t="shared" si="1"/>
        <v>8.6132644272179162E-2</v>
      </c>
      <c r="I9" s="41">
        <f t="shared" si="2"/>
        <v>1320</v>
      </c>
      <c r="J9" s="41">
        <f t="shared" si="3"/>
        <v>3036</v>
      </c>
      <c r="K9" s="8" t="s">
        <v>26</v>
      </c>
      <c r="L9" s="41">
        <v>164</v>
      </c>
      <c r="M9" s="27">
        <v>162.30000000000001</v>
      </c>
      <c r="N9" s="47">
        <f t="shared" si="4"/>
        <v>1.6999999999999886</v>
      </c>
    </row>
    <row r="10" spans="1:14" ht="24.95" customHeight="1">
      <c r="A10" s="36">
        <v>6</v>
      </c>
      <c r="B10" s="37" t="s">
        <v>31</v>
      </c>
      <c r="C10" s="37">
        <v>120</v>
      </c>
      <c r="D10" s="15"/>
      <c r="E10" s="32" t="s">
        <v>24</v>
      </c>
      <c r="F10" s="8" t="s">
        <v>25</v>
      </c>
      <c r="G10" s="41">
        <f t="shared" si="0"/>
        <v>2322</v>
      </c>
      <c r="H10" s="44">
        <f t="shared" si="1"/>
        <v>8.6132644272179162E-2</v>
      </c>
      <c r="I10" s="41">
        <f t="shared" si="2"/>
        <v>1320</v>
      </c>
      <c r="J10" s="41">
        <f t="shared" si="3"/>
        <v>3036</v>
      </c>
      <c r="K10" s="8" t="s">
        <v>26</v>
      </c>
      <c r="L10" s="41">
        <v>167</v>
      </c>
      <c r="M10" s="27">
        <v>165.6</v>
      </c>
      <c r="N10" s="47">
        <f t="shared" si="4"/>
        <v>1.4000000000000057</v>
      </c>
    </row>
    <row r="11" spans="1:14" ht="24.95" customHeight="1">
      <c r="A11" s="36">
        <v>7</v>
      </c>
      <c r="B11" s="37" t="s">
        <v>32</v>
      </c>
      <c r="C11" s="37">
        <v>120</v>
      </c>
      <c r="D11" s="15"/>
      <c r="E11" s="32" t="s">
        <v>24</v>
      </c>
      <c r="F11" s="8" t="s">
        <v>25</v>
      </c>
      <c r="G11" s="41">
        <f t="shared" si="0"/>
        <v>2322</v>
      </c>
      <c r="H11" s="44">
        <f t="shared" si="1"/>
        <v>8.6132644272179162E-2</v>
      </c>
      <c r="I11" s="41">
        <f t="shared" si="2"/>
        <v>1320</v>
      </c>
      <c r="J11" s="41">
        <f t="shared" si="3"/>
        <v>3036</v>
      </c>
      <c r="K11" s="8" t="s">
        <v>26</v>
      </c>
      <c r="L11" s="41">
        <v>157</v>
      </c>
      <c r="M11" s="27">
        <v>155</v>
      </c>
      <c r="N11" s="47">
        <f t="shared" si="4"/>
        <v>2</v>
      </c>
    </row>
    <row r="12" spans="1:14" ht="24.95" customHeight="1">
      <c r="A12" s="36">
        <v>8</v>
      </c>
      <c r="B12" s="37" t="s">
        <v>33</v>
      </c>
      <c r="C12" s="37">
        <v>120</v>
      </c>
      <c r="D12" s="15"/>
      <c r="E12" s="32" t="s">
        <v>24</v>
      </c>
      <c r="F12" s="8" t="s">
        <v>25</v>
      </c>
      <c r="G12" s="41">
        <f t="shared" si="0"/>
        <v>2322</v>
      </c>
      <c r="H12" s="44">
        <f t="shared" si="1"/>
        <v>8.6132644272179162E-2</v>
      </c>
      <c r="I12" s="41">
        <f t="shared" si="2"/>
        <v>1320</v>
      </c>
      <c r="J12" s="41">
        <f t="shared" si="3"/>
        <v>3036</v>
      </c>
      <c r="K12" s="8" t="s">
        <v>26</v>
      </c>
      <c r="L12" s="41">
        <v>152</v>
      </c>
      <c r="M12" s="27">
        <v>152.1</v>
      </c>
      <c r="N12" s="47">
        <f t="shared" si="4"/>
        <v>9.9999999999994316E-2</v>
      </c>
    </row>
    <row r="13" spans="1:14" ht="24.95" customHeight="1">
      <c r="A13" s="36">
        <v>9</v>
      </c>
      <c r="B13" s="37" t="s">
        <v>34</v>
      </c>
      <c r="C13" s="37">
        <v>120</v>
      </c>
      <c r="D13" s="15"/>
      <c r="E13" s="32" t="s">
        <v>24</v>
      </c>
      <c r="F13" s="8" t="s">
        <v>25</v>
      </c>
      <c r="G13" s="41">
        <f t="shared" si="0"/>
        <v>2322</v>
      </c>
      <c r="H13" s="44">
        <f t="shared" si="1"/>
        <v>8.6132644272179162E-2</v>
      </c>
      <c r="I13" s="41">
        <f t="shared" si="2"/>
        <v>1320</v>
      </c>
      <c r="J13" s="41">
        <f t="shared" si="3"/>
        <v>3036</v>
      </c>
      <c r="K13" s="8" t="s">
        <v>26</v>
      </c>
      <c r="L13" s="41">
        <v>166</v>
      </c>
      <c r="M13" s="27">
        <v>169.4</v>
      </c>
      <c r="N13" s="47">
        <f t="shared" si="4"/>
        <v>3.4000000000000057</v>
      </c>
    </row>
    <row r="14" spans="1:14" ht="24.95" customHeight="1">
      <c r="A14" s="36">
        <v>10</v>
      </c>
      <c r="B14" s="37" t="s">
        <v>35</v>
      </c>
      <c r="C14" s="37">
        <v>120</v>
      </c>
      <c r="D14" s="15"/>
      <c r="E14" s="32" t="s">
        <v>24</v>
      </c>
      <c r="F14" s="8" t="s">
        <v>25</v>
      </c>
      <c r="G14" s="41">
        <f t="shared" si="0"/>
        <v>2322</v>
      </c>
      <c r="H14" s="44">
        <f t="shared" si="1"/>
        <v>8.6132644272179162E-2</v>
      </c>
      <c r="I14" s="41">
        <f t="shared" si="2"/>
        <v>1320</v>
      </c>
      <c r="J14" s="41">
        <f t="shared" si="3"/>
        <v>3036</v>
      </c>
      <c r="K14" s="8" t="s">
        <v>26</v>
      </c>
      <c r="L14" s="41">
        <v>165</v>
      </c>
      <c r="M14" s="27">
        <v>162.5</v>
      </c>
      <c r="N14" s="47">
        <f t="shared" si="4"/>
        <v>2.5</v>
      </c>
    </row>
    <row r="15" spans="1:14" ht="24.95" customHeight="1">
      <c r="A15" s="36">
        <v>11</v>
      </c>
      <c r="B15" s="37" t="s">
        <v>36</v>
      </c>
      <c r="C15" s="37">
        <v>120</v>
      </c>
      <c r="D15" s="15"/>
      <c r="E15" s="32" t="s">
        <v>24</v>
      </c>
      <c r="F15" s="8" t="s">
        <v>25</v>
      </c>
      <c r="G15" s="41">
        <f t="shared" si="0"/>
        <v>2322</v>
      </c>
      <c r="H15" s="44">
        <f t="shared" si="1"/>
        <v>8.6132644272179162E-2</v>
      </c>
      <c r="I15" s="41">
        <f t="shared" si="2"/>
        <v>1320</v>
      </c>
      <c r="J15" s="41">
        <f t="shared" si="3"/>
        <v>3036</v>
      </c>
      <c r="K15" s="8" t="s">
        <v>26</v>
      </c>
      <c r="L15" s="41">
        <v>166</v>
      </c>
      <c r="M15" s="27">
        <v>163</v>
      </c>
      <c r="N15" s="47">
        <f t="shared" si="4"/>
        <v>3</v>
      </c>
    </row>
    <row r="16" spans="1:14" ht="24.95" customHeight="1">
      <c r="A16" s="36">
        <v>12</v>
      </c>
      <c r="B16" s="37" t="s">
        <v>37</v>
      </c>
      <c r="C16" s="37">
        <v>120</v>
      </c>
      <c r="D16" s="15"/>
      <c r="E16" s="32" t="s">
        <v>24</v>
      </c>
      <c r="F16" s="8" t="s">
        <v>25</v>
      </c>
      <c r="G16" s="41">
        <f t="shared" si="0"/>
        <v>2322</v>
      </c>
      <c r="H16" s="44">
        <f t="shared" si="1"/>
        <v>8.6132644272179162E-2</v>
      </c>
      <c r="I16" s="41">
        <f t="shared" si="2"/>
        <v>1320</v>
      </c>
      <c r="J16" s="41">
        <f t="shared" si="3"/>
        <v>3036</v>
      </c>
      <c r="K16" s="8" t="s">
        <v>26</v>
      </c>
      <c r="L16" s="41">
        <v>162</v>
      </c>
      <c r="M16" s="27">
        <v>162.19999999999999</v>
      </c>
      <c r="N16" s="47">
        <f t="shared" si="4"/>
        <v>0.19999999999998863</v>
      </c>
    </row>
    <row r="17" spans="1:14" ht="24.95" customHeight="1">
      <c r="A17" s="36">
        <v>13</v>
      </c>
      <c r="B17" s="37" t="s">
        <v>38</v>
      </c>
      <c r="C17" s="37">
        <v>120</v>
      </c>
      <c r="D17" s="15"/>
      <c r="E17" s="32" t="s">
        <v>24</v>
      </c>
      <c r="F17" s="8" t="s">
        <v>25</v>
      </c>
      <c r="G17" s="41">
        <f t="shared" si="0"/>
        <v>2322</v>
      </c>
      <c r="H17" s="44">
        <f t="shared" si="1"/>
        <v>8.6132644272179162E-2</v>
      </c>
      <c r="I17" s="41">
        <f t="shared" si="2"/>
        <v>1320</v>
      </c>
      <c r="J17" s="41">
        <f t="shared" si="3"/>
        <v>3036</v>
      </c>
      <c r="K17" s="8" t="s">
        <v>26</v>
      </c>
      <c r="L17" s="41">
        <v>164</v>
      </c>
      <c r="M17" s="27">
        <v>161.19999999999999</v>
      </c>
      <c r="N17" s="47">
        <f t="shared" si="4"/>
        <v>2.8000000000000114</v>
      </c>
    </row>
    <row r="18" spans="1:14" ht="24.95" customHeight="1">
      <c r="A18" s="36">
        <v>14</v>
      </c>
      <c r="B18" s="37" t="s">
        <v>39</v>
      </c>
      <c r="C18" s="37">
        <v>120</v>
      </c>
      <c r="D18" s="15"/>
      <c r="E18" s="32" t="s">
        <v>24</v>
      </c>
      <c r="F18" s="8" t="s">
        <v>25</v>
      </c>
      <c r="G18" s="41">
        <f t="shared" si="0"/>
        <v>2322</v>
      </c>
      <c r="H18" s="44">
        <f t="shared" si="1"/>
        <v>8.6132644272179162E-2</v>
      </c>
      <c r="I18" s="41">
        <f t="shared" si="2"/>
        <v>1320</v>
      </c>
      <c r="J18" s="41">
        <f t="shared" si="3"/>
        <v>3036</v>
      </c>
      <c r="K18" s="8" t="s">
        <v>26</v>
      </c>
      <c r="L18" s="41">
        <v>161</v>
      </c>
      <c r="M18" s="27">
        <v>164.4</v>
      </c>
      <c r="N18" s="47">
        <f t="shared" si="4"/>
        <v>3.4000000000000057</v>
      </c>
    </row>
    <row r="19" spans="1:14" ht="24.95" customHeight="1">
      <c r="A19" s="38">
        <v>15</v>
      </c>
      <c r="B19" s="39" t="s">
        <v>40</v>
      </c>
      <c r="C19" s="39">
        <v>120</v>
      </c>
      <c r="D19" s="18"/>
      <c r="E19" s="33" t="s">
        <v>24</v>
      </c>
      <c r="F19" s="9" t="s">
        <v>25</v>
      </c>
      <c r="G19" s="42">
        <f t="shared" si="0"/>
        <v>2322</v>
      </c>
      <c r="H19" s="45">
        <f t="shared" si="1"/>
        <v>8.6132644272179162E-2</v>
      </c>
      <c r="I19" s="42">
        <f t="shared" si="2"/>
        <v>1320</v>
      </c>
      <c r="J19" s="42">
        <f t="shared" si="3"/>
        <v>3036</v>
      </c>
      <c r="K19" s="9" t="s">
        <v>26</v>
      </c>
      <c r="L19" s="42">
        <v>175</v>
      </c>
      <c r="M19" s="29">
        <v>177.2</v>
      </c>
      <c r="N19" s="48">
        <f t="shared" si="4"/>
        <v>2.1999999999999886</v>
      </c>
    </row>
  </sheetData>
  <mergeCells count="1">
    <mergeCell ref="A1:N1"/>
  </mergeCells>
  <conditionalFormatting sqref="N5:N19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dataValidations count="2">
    <dataValidation type="list" sqref="E5:E19" xr:uid="{00000000-0002-0000-0200-000000000000}">
      <formula1>"Berhasil,Gagal"</formula1>
    </dataValidation>
    <dataValidation type="list" sqref="F5:F19 K5:K19" xr:uid="{00000000-0002-0000-0200-000001000000}">
      <formula1>"Ya,Tidak"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workbookViewId="0"/>
  </sheetViews>
  <sheetFormatPr defaultRowHeight="14.25"/>
  <cols>
    <col min="1" max="1" width="7" customWidth="1"/>
    <col min="2" max="2" width="9" customWidth="1"/>
    <col min="3" max="3" width="14" customWidth="1"/>
    <col min="4" max="4" width="18" customWidth="1"/>
    <col min="5" max="5" width="14" customWidth="1"/>
    <col min="6" max="6" width="17" customWidth="1"/>
    <col min="7" max="7" width="19" customWidth="1"/>
    <col min="8" max="8" width="17" customWidth="1"/>
    <col min="9" max="9" width="15" customWidth="1"/>
    <col min="10" max="10" width="18" customWidth="1"/>
    <col min="11" max="11" width="17" customWidth="1"/>
    <col min="12" max="12" width="18" customWidth="1"/>
    <col min="13" max="14" width="16" customWidth="1"/>
  </cols>
  <sheetData>
    <row r="1" spans="1:14" ht="33.950000000000003" customHeight="1">
      <c r="A1" s="136" t="s">
        <v>42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8"/>
    </row>
    <row r="4" spans="1:14" ht="44.1" customHeight="1">
      <c r="A4" s="1" t="s">
        <v>12</v>
      </c>
      <c r="B4" s="2" t="s">
        <v>13</v>
      </c>
      <c r="C4" s="2" t="s">
        <v>1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4</v>
      </c>
      <c r="I4" s="2" t="s">
        <v>5</v>
      </c>
      <c r="J4" s="2" t="s">
        <v>18</v>
      </c>
      <c r="K4" s="2" t="s">
        <v>19</v>
      </c>
      <c r="L4" s="2" t="s">
        <v>20</v>
      </c>
      <c r="M4" s="2" t="s">
        <v>21</v>
      </c>
      <c r="N4" s="3" t="s">
        <v>22</v>
      </c>
    </row>
    <row r="5" spans="1:14" ht="24.95" customHeight="1">
      <c r="A5" s="52">
        <v>1</v>
      </c>
      <c r="B5" s="53" t="s">
        <v>23</v>
      </c>
      <c r="C5" s="53">
        <v>150</v>
      </c>
      <c r="D5" s="12"/>
      <c r="E5" s="49" t="s">
        <v>24</v>
      </c>
      <c r="F5" s="7" t="s">
        <v>25</v>
      </c>
      <c r="G5" s="58">
        <f t="shared" ref="G5:G19" si="0">C5*19.35</f>
        <v>2902.5</v>
      </c>
      <c r="H5" s="61">
        <f t="shared" ref="H5:H19" si="1">200/G5</f>
        <v>6.890611541774333E-2</v>
      </c>
      <c r="I5" s="58">
        <f t="shared" ref="I5:I19" si="2">C5*11</f>
        <v>1650</v>
      </c>
      <c r="J5" s="58">
        <f t="shared" ref="J5:J19" si="3">C5*25.3</f>
        <v>3795</v>
      </c>
      <c r="K5" s="7" t="s">
        <v>26</v>
      </c>
      <c r="L5" s="58">
        <v>169</v>
      </c>
      <c r="M5" s="25">
        <v>167.4</v>
      </c>
      <c r="N5" s="64">
        <f t="shared" ref="N5:N19" si="4">ABS(M5-L5)</f>
        <v>1.5999999999999943</v>
      </c>
    </row>
    <row r="6" spans="1:14" ht="24.95" customHeight="1">
      <c r="A6" s="54">
        <v>2</v>
      </c>
      <c r="B6" s="55" t="s">
        <v>27</v>
      </c>
      <c r="C6" s="55">
        <v>150</v>
      </c>
      <c r="D6" s="15"/>
      <c r="E6" s="50" t="s">
        <v>24</v>
      </c>
      <c r="F6" s="8" t="s">
        <v>25</v>
      </c>
      <c r="G6" s="59">
        <f t="shared" si="0"/>
        <v>2902.5</v>
      </c>
      <c r="H6" s="62">
        <f t="shared" si="1"/>
        <v>6.890611541774333E-2</v>
      </c>
      <c r="I6" s="59">
        <f t="shared" si="2"/>
        <v>1650</v>
      </c>
      <c r="J6" s="59">
        <f t="shared" si="3"/>
        <v>3795</v>
      </c>
      <c r="K6" s="8" t="s">
        <v>26</v>
      </c>
      <c r="L6" s="59">
        <v>160</v>
      </c>
      <c r="M6" s="27">
        <v>160.6</v>
      </c>
      <c r="N6" s="65">
        <f t="shared" si="4"/>
        <v>0.59999999999999432</v>
      </c>
    </row>
    <row r="7" spans="1:14" ht="24.95" customHeight="1">
      <c r="A7" s="54">
        <v>3</v>
      </c>
      <c r="B7" s="55" t="s">
        <v>28</v>
      </c>
      <c r="C7" s="55">
        <v>150</v>
      </c>
      <c r="D7" s="15"/>
      <c r="E7" s="50" t="s">
        <v>24</v>
      </c>
      <c r="F7" s="8" t="s">
        <v>25</v>
      </c>
      <c r="G7" s="59">
        <f t="shared" si="0"/>
        <v>2902.5</v>
      </c>
      <c r="H7" s="62">
        <f t="shared" si="1"/>
        <v>6.890611541774333E-2</v>
      </c>
      <c r="I7" s="59">
        <f t="shared" si="2"/>
        <v>1650</v>
      </c>
      <c r="J7" s="59">
        <f t="shared" si="3"/>
        <v>3795</v>
      </c>
      <c r="K7" s="8" t="s">
        <v>26</v>
      </c>
      <c r="L7" s="59">
        <v>168</v>
      </c>
      <c r="M7" s="27">
        <v>168.2</v>
      </c>
      <c r="N7" s="65">
        <f t="shared" si="4"/>
        <v>0.19999999999998863</v>
      </c>
    </row>
    <row r="8" spans="1:14" ht="24.95" customHeight="1">
      <c r="A8" s="54">
        <v>4</v>
      </c>
      <c r="B8" s="55" t="s">
        <v>29</v>
      </c>
      <c r="C8" s="55">
        <v>150</v>
      </c>
      <c r="D8" s="15"/>
      <c r="E8" s="50" t="s">
        <v>24</v>
      </c>
      <c r="F8" s="8" t="s">
        <v>25</v>
      </c>
      <c r="G8" s="59">
        <f t="shared" si="0"/>
        <v>2902.5</v>
      </c>
      <c r="H8" s="62">
        <f t="shared" si="1"/>
        <v>6.890611541774333E-2</v>
      </c>
      <c r="I8" s="59">
        <f t="shared" si="2"/>
        <v>1650</v>
      </c>
      <c r="J8" s="59">
        <f t="shared" si="3"/>
        <v>3795</v>
      </c>
      <c r="K8" s="8" t="s">
        <v>26</v>
      </c>
      <c r="L8" s="59">
        <v>153</v>
      </c>
      <c r="M8" s="27">
        <v>150.19999999999999</v>
      </c>
      <c r="N8" s="65">
        <f t="shared" si="4"/>
        <v>2.8000000000000114</v>
      </c>
    </row>
    <row r="9" spans="1:14" ht="24.95" customHeight="1">
      <c r="A9" s="54">
        <v>5</v>
      </c>
      <c r="B9" s="55" t="s">
        <v>30</v>
      </c>
      <c r="C9" s="55">
        <v>150</v>
      </c>
      <c r="D9" s="15"/>
      <c r="E9" s="50" t="s">
        <v>24</v>
      </c>
      <c r="F9" s="8" t="s">
        <v>25</v>
      </c>
      <c r="G9" s="59">
        <f t="shared" si="0"/>
        <v>2902.5</v>
      </c>
      <c r="H9" s="62">
        <f t="shared" si="1"/>
        <v>6.890611541774333E-2</v>
      </c>
      <c r="I9" s="59">
        <f t="shared" si="2"/>
        <v>1650</v>
      </c>
      <c r="J9" s="59">
        <f t="shared" si="3"/>
        <v>3795</v>
      </c>
      <c r="K9" s="8" t="s">
        <v>26</v>
      </c>
      <c r="L9" s="59">
        <v>164</v>
      </c>
      <c r="M9" s="27">
        <v>160.1</v>
      </c>
      <c r="N9" s="65">
        <f t="shared" si="4"/>
        <v>3.9000000000000057</v>
      </c>
    </row>
    <row r="10" spans="1:14" ht="24.95" customHeight="1">
      <c r="A10" s="54">
        <v>6</v>
      </c>
      <c r="B10" s="55" t="s">
        <v>31</v>
      </c>
      <c r="C10" s="55">
        <v>150</v>
      </c>
      <c r="D10" s="15"/>
      <c r="E10" s="50" t="s">
        <v>24</v>
      </c>
      <c r="F10" s="8" t="s">
        <v>25</v>
      </c>
      <c r="G10" s="59">
        <f t="shared" si="0"/>
        <v>2902.5</v>
      </c>
      <c r="H10" s="62">
        <f t="shared" si="1"/>
        <v>6.890611541774333E-2</v>
      </c>
      <c r="I10" s="59">
        <f t="shared" si="2"/>
        <v>1650</v>
      </c>
      <c r="J10" s="59">
        <f t="shared" si="3"/>
        <v>3795</v>
      </c>
      <c r="K10" s="8" t="s">
        <v>26</v>
      </c>
      <c r="L10" s="59">
        <v>167</v>
      </c>
      <c r="M10" s="27">
        <v>165.8</v>
      </c>
      <c r="N10" s="65">
        <f t="shared" si="4"/>
        <v>1.1999999999999886</v>
      </c>
    </row>
    <row r="11" spans="1:14" ht="24.95" customHeight="1">
      <c r="A11" s="54">
        <v>7</v>
      </c>
      <c r="B11" s="55" t="s">
        <v>32</v>
      </c>
      <c r="C11" s="55">
        <v>150</v>
      </c>
      <c r="D11" s="15"/>
      <c r="E11" s="50" t="s">
        <v>24</v>
      </c>
      <c r="F11" s="8" t="s">
        <v>25</v>
      </c>
      <c r="G11" s="59">
        <f t="shared" si="0"/>
        <v>2902.5</v>
      </c>
      <c r="H11" s="62">
        <f t="shared" si="1"/>
        <v>6.890611541774333E-2</v>
      </c>
      <c r="I11" s="59">
        <f t="shared" si="2"/>
        <v>1650</v>
      </c>
      <c r="J11" s="59">
        <f t="shared" si="3"/>
        <v>3795</v>
      </c>
      <c r="K11" s="8" t="s">
        <v>26</v>
      </c>
      <c r="L11" s="59">
        <v>157</v>
      </c>
      <c r="M11" s="27">
        <v>155.6</v>
      </c>
      <c r="N11" s="65">
        <f t="shared" si="4"/>
        <v>1.4000000000000057</v>
      </c>
    </row>
    <row r="12" spans="1:14" ht="24.95" customHeight="1">
      <c r="A12" s="54">
        <v>8</v>
      </c>
      <c r="B12" s="55" t="s">
        <v>33</v>
      </c>
      <c r="C12" s="55">
        <v>150</v>
      </c>
      <c r="D12" s="15"/>
      <c r="E12" s="50" t="s">
        <v>24</v>
      </c>
      <c r="F12" s="8" t="s">
        <v>25</v>
      </c>
      <c r="G12" s="59">
        <f t="shared" si="0"/>
        <v>2902.5</v>
      </c>
      <c r="H12" s="62">
        <f t="shared" si="1"/>
        <v>6.890611541774333E-2</v>
      </c>
      <c r="I12" s="59">
        <f t="shared" si="2"/>
        <v>1650</v>
      </c>
      <c r="J12" s="59">
        <f t="shared" si="3"/>
        <v>3795</v>
      </c>
      <c r="K12" s="8" t="s">
        <v>26</v>
      </c>
      <c r="L12" s="59">
        <v>152</v>
      </c>
      <c r="M12" s="27">
        <v>153.4</v>
      </c>
      <c r="N12" s="65">
        <f t="shared" si="4"/>
        <v>1.4000000000000057</v>
      </c>
    </row>
    <row r="13" spans="1:14" ht="24.95" customHeight="1">
      <c r="A13" s="54">
        <v>9</v>
      </c>
      <c r="B13" s="55" t="s">
        <v>34</v>
      </c>
      <c r="C13" s="55">
        <v>150</v>
      </c>
      <c r="D13" s="15"/>
      <c r="E13" s="50" t="s">
        <v>24</v>
      </c>
      <c r="F13" s="8" t="s">
        <v>25</v>
      </c>
      <c r="G13" s="59">
        <f t="shared" si="0"/>
        <v>2902.5</v>
      </c>
      <c r="H13" s="62">
        <f t="shared" si="1"/>
        <v>6.890611541774333E-2</v>
      </c>
      <c r="I13" s="59">
        <f t="shared" si="2"/>
        <v>1650</v>
      </c>
      <c r="J13" s="59">
        <f t="shared" si="3"/>
        <v>3795</v>
      </c>
      <c r="K13" s="8" t="s">
        <v>26</v>
      </c>
      <c r="L13" s="59">
        <v>166</v>
      </c>
      <c r="M13" s="27">
        <v>159.5</v>
      </c>
      <c r="N13" s="65">
        <f t="shared" si="4"/>
        <v>6.5</v>
      </c>
    </row>
    <row r="14" spans="1:14" ht="24.95" customHeight="1">
      <c r="A14" s="54">
        <v>10</v>
      </c>
      <c r="B14" s="55" t="s">
        <v>35</v>
      </c>
      <c r="C14" s="55">
        <v>150</v>
      </c>
      <c r="D14" s="15"/>
      <c r="E14" s="50" t="s">
        <v>24</v>
      </c>
      <c r="F14" s="8" t="s">
        <v>25</v>
      </c>
      <c r="G14" s="59">
        <f t="shared" si="0"/>
        <v>2902.5</v>
      </c>
      <c r="H14" s="62">
        <f t="shared" si="1"/>
        <v>6.890611541774333E-2</v>
      </c>
      <c r="I14" s="59">
        <f t="shared" si="2"/>
        <v>1650</v>
      </c>
      <c r="J14" s="59">
        <f t="shared" si="3"/>
        <v>3795</v>
      </c>
      <c r="K14" s="8" t="s">
        <v>26</v>
      </c>
      <c r="L14" s="59">
        <v>165</v>
      </c>
      <c r="M14" s="27">
        <v>165.3</v>
      </c>
      <c r="N14" s="65">
        <f t="shared" si="4"/>
        <v>0.30000000000001137</v>
      </c>
    </row>
    <row r="15" spans="1:14" ht="24.95" customHeight="1">
      <c r="A15" s="54">
        <v>11</v>
      </c>
      <c r="B15" s="55" t="s">
        <v>36</v>
      </c>
      <c r="C15" s="55">
        <v>150</v>
      </c>
      <c r="D15" s="15"/>
      <c r="E15" s="50" t="s">
        <v>24</v>
      </c>
      <c r="F15" s="8" t="s">
        <v>25</v>
      </c>
      <c r="G15" s="59">
        <f t="shared" si="0"/>
        <v>2902.5</v>
      </c>
      <c r="H15" s="62">
        <f t="shared" si="1"/>
        <v>6.890611541774333E-2</v>
      </c>
      <c r="I15" s="59">
        <f t="shared" si="2"/>
        <v>1650</v>
      </c>
      <c r="J15" s="59">
        <f t="shared" si="3"/>
        <v>3795</v>
      </c>
      <c r="K15" s="8" t="s">
        <v>26</v>
      </c>
      <c r="L15" s="59">
        <v>166</v>
      </c>
      <c r="M15" s="27">
        <v>163.69999999999999</v>
      </c>
      <c r="N15" s="65">
        <f t="shared" si="4"/>
        <v>2.3000000000000114</v>
      </c>
    </row>
    <row r="16" spans="1:14" ht="24.95" customHeight="1">
      <c r="A16" s="54">
        <v>12</v>
      </c>
      <c r="B16" s="55" t="s">
        <v>37</v>
      </c>
      <c r="C16" s="55">
        <v>150</v>
      </c>
      <c r="D16" s="15"/>
      <c r="E16" s="50" t="s">
        <v>24</v>
      </c>
      <c r="F16" s="8" t="s">
        <v>25</v>
      </c>
      <c r="G16" s="59">
        <f t="shared" si="0"/>
        <v>2902.5</v>
      </c>
      <c r="H16" s="62">
        <f t="shared" si="1"/>
        <v>6.890611541774333E-2</v>
      </c>
      <c r="I16" s="59">
        <f t="shared" si="2"/>
        <v>1650</v>
      </c>
      <c r="J16" s="59">
        <f t="shared" si="3"/>
        <v>3795</v>
      </c>
      <c r="K16" s="8" t="s">
        <v>26</v>
      </c>
      <c r="L16" s="59">
        <v>162</v>
      </c>
      <c r="M16" s="27">
        <v>161.69999999999999</v>
      </c>
      <c r="N16" s="65">
        <f t="shared" si="4"/>
        <v>0.30000000000001137</v>
      </c>
    </row>
    <row r="17" spans="1:14" ht="24.95" customHeight="1">
      <c r="A17" s="54">
        <v>13</v>
      </c>
      <c r="B17" s="55" t="s">
        <v>38</v>
      </c>
      <c r="C17" s="55">
        <v>150</v>
      </c>
      <c r="D17" s="15"/>
      <c r="E17" s="50" t="s">
        <v>24</v>
      </c>
      <c r="F17" s="8" t="s">
        <v>25</v>
      </c>
      <c r="G17" s="59">
        <f t="shared" si="0"/>
        <v>2902.5</v>
      </c>
      <c r="H17" s="62">
        <f t="shared" si="1"/>
        <v>6.890611541774333E-2</v>
      </c>
      <c r="I17" s="59">
        <f t="shared" si="2"/>
        <v>1650</v>
      </c>
      <c r="J17" s="59">
        <f t="shared" si="3"/>
        <v>3795</v>
      </c>
      <c r="K17" s="8" t="s">
        <v>26</v>
      </c>
      <c r="L17" s="59">
        <v>164</v>
      </c>
      <c r="M17" s="27">
        <v>162.80000000000001</v>
      </c>
      <c r="N17" s="65">
        <f t="shared" si="4"/>
        <v>1.1999999999999886</v>
      </c>
    </row>
    <row r="18" spans="1:14" ht="24.95" customHeight="1">
      <c r="A18" s="54">
        <v>14</v>
      </c>
      <c r="B18" s="55" t="s">
        <v>39</v>
      </c>
      <c r="C18" s="55">
        <v>150</v>
      </c>
      <c r="D18" s="15"/>
      <c r="E18" s="50" t="s">
        <v>24</v>
      </c>
      <c r="F18" s="8" t="s">
        <v>25</v>
      </c>
      <c r="G18" s="59">
        <f t="shared" si="0"/>
        <v>2902.5</v>
      </c>
      <c r="H18" s="62">
        <f t="shared" si="1"/>
        <v>6.890611541774333E-2</v>
      </c>
      <c r="I18" s="59">
        <f t="shared" si="2"/>
        <v>1650</v>
      </c>
      <c r="J18" s="59">
        <f t="shared" si="3"/>
        <v>3795</v>
      </c>
      <c r="K18" s="8" t="s">
        <v>26</v>
      </c>
      <c r="L18" s="59">
        <v>161</v>
      </c>
      <c r="M18" s="27">
        <v>166.9</v>
      </c>
      <c r="N18" s="65">
        <f t="shared" si="4"/>
        <v>5.9000000000000057</v>
      </c>
    </row>
    <row r="19" spans="1:14" ht="24.95" customHeight="1">
      <c r="A19" s="56">
        <v>15</v>
      </c>
      <c r="B19" s="57" t="s">
        <v>40</v>
      </c>
      <c r="C19" s="57">
        <v>150</v>
      </c>
      <c r="D19" s="18"/>
      <c r="E19" s="51" t="s">
        <v>24</v>
      </c>
      <c r="F19" s="9" t="s">
        <v>25</v>
      </c>
      <c r="G19" s="60">
        <f t="shared" si="0"/>
        <v>2902.5</v>
      </c>
      <c r="H19" s="63">
        <f t="shared" si="1"/>
        <v>6.890611541774333E-2</v>
      </c>
      <c r="I19" s="60">
        <f t="shared" si="2"/>
        <v>1650</v>
      </c>
      <c r="J19" s="60">
        <f t="shared" si="3"/>
        <v>3795</v>
      </c>
      <c r="K19" s="9" t="s">
        <v>26</v>
      </c>
      <c r="L19" s="60">
        <v>175</v>
      </c>
      <c r="M19" s="29">
        <v>182.4</v>
      </c>
      <c r="N19" s="66">
        <f t="shared" si="4"/>
        <v>7.4000000000000057</v>
      </c>
    </row>
  </sheetData>
  <mergeCells count="1">
    <mergeCell ref="A1:N1"/>
  </mergeCells>
  <conditionalFormatting sqref="N5:N19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dataValidations count="2">
    <dataValidation type="list" sqref="E5:E19" xr:uid="{00000000-0002-0000-0300-000000000000}">
      <formula1>"Berhasil,Gagal"</formula1>
    </dataValidation>
    <dataValidation type="list" sqref="F5:F19 K5:K19" xr:uid="{00000000-0002-0000-0300-000001000000}">
      <formula1>"Ya,Tidak"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tabSelected="1" workbookViewId="0">
      <selection sqref="A1:D1"/>
    </sheetView>
  </sheetViews>
  <sheetFormatPr defaultRowHeight="14.25"/>
  <cols>
    <col min="1" max="1" width="28" customWidth="1"/>
    <col min="2" max="2" width="15" customWidth="1"/>
    <col min="3" max="3" width="12" customWidth="1"/>
    <col min="4" max="4" width="48" customWidth="1"/>
  </cols>
  <sheetData>
    <row r="1" spans="1:4" ht="27.95" customHeight="1">
      <c r="A1" s="139" t="s">
        <v>43</v>
      </c>
      <c r="B1" s="140" t="s">
        <v>43</v>
      </c>
      <c r="C1" s="140" t="s">
        <v>43</v>
      </c>
      <c r="D1" s="141" t="s">
        <v>43</v>
      </c>
    </row>
    <row r="3" spans="1:4" ht="42" customHeight="1">
      <c r="A3" s="83" t="s">
        <v>44</v>
      </c>
      <c r="B3" s="84" t="s">
        <v>45</v>
      </c>
      <c r="C3" s="84" t="s">
        <v>46</v>
      </c>
      <c r="D3" s="85" t="s">
        <v>47</v>
      </c>
    </row>
    <row r="4" spans="1:4" ht="15">
      <c r="A4" s="86" t="s">
        <v>48</v>
      </c>
      <c r="B4" s="87">
        <v>120</v>
      </c>
      <c r="C4" s="88" t="s">
        <v>49</v>
      </c>
      <c r="D4" s="89" t="s">
        <v>50</v>
      </c>
    </row>
    <row r="5" spans="1:4" ht="15">
      <c r="A5" s="90" t="s">
        <v>51</v>
      </c>
      <c r="B5" s="91">
        <f>'PX 120'!H5</f>
        <v>8.6132644272179162E-2</v>
      </c>
      <c r="C5" s="92" t="s">
        <v>52</v>
      </c>
      <c r="D5" s="93" t="s">
        <v>53</v>
      </c>
    </row>
    <row r="6" spans="1:4" ht="15">
      <c r="A6" s="90" t="s">
        <v>54</v>
      </c>
      <c r="B6" s="94">
        <v>350</v>
      </c>
      <c r="C6" s="92" t="s">
        <v>55</v>
      </c>
      <c r="D6" s="93" t="s">
        <v>56</v>
      </c>
    </row>
    <row r="7" spans="1:4" ht="15">
      <c r="A7" s="90" t="s">
        <v>57</v>
      </c>
      <c r="B7" s="94">
        <v>50</v>
      </c>
      <c r="C7" s="92" t="s">
        <v>55</v>
      </c>
      <c r="D7" s="93" t="s">
        <v>56</v>
      </c>
    </row>
    <row r="8" spans="1:4" ht="15">
      <c r="A8" s="90" t="s">
        <v>58</v>
      </c>
      <c r="B8" s="91">
        <f>(B6-B7)/B6</f>
        <v>0.8571428571428571</v>
      </c>
      <c r="C8" s="92" t="s">
        <v>59</v>
      </c>
      <c r="D8" s="93" t="s">
        <v>60</v>
      </c>
    </row>
    <row r="9" spans="1:4" ht="15">
      <c r="A9" s="90" t="s">
        <v>61</v>
      </c>
      <c r="B9" s="94">
        <v>1.0249999999999999</v>
      </c>
      <c r="C9" s="92" t="s">
        <v>59</v>
      </c>
      <c r="D9" s="93" t="s">
        <v>62</v>
      </c>
    </row>
    <row r="10" spans="1:4" ht="15">
      <c r="A10" s="90" t="s">
        <v>63</v>
      </c>
      <c r="B10" s="94">
        <v>200</v>
      </c>
      <c r="C10" s="92" t="s">
        <v>55</v>
      </c>
      <c r="D10" s="93" t="s">
        <v>64</v>
      </c>
    </row>
    <row r="11" spans="1:4" ht="15">
      <c r="A11" s="95" t="s">
        <v>65</v>
      </c>
      <c r="B11" s="96">
        <v>19.350000000000001</v>
      </c>
      <c r="C11" s="97" t="s">
        <v>66</v>
      </c>
      <c r="D11" s="98" t="s">
        <v>67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9"/>
  <sheetViews>
    <sheetView workbookViewId="0"/>
  </sheetViews>
  <sheetFormatPr defaultRowHeight="14.25"/>
  <cols>
    <col min="1" max="1" width="6" customWidth="1"/>
    <col min="2" max="2" width="11" customWidth="1"/>
    <col min="3" max="4" width="12" customWidth="1"/>
    <col min="5" max="5" width="13" customWidth="1"/>
    <col min="6" max="6" width="12" customWidth="1"/>
    <col min="7" max="8" width="15" customWidth="1"/>
    <col min="9" max="9" width="14" customWidth="1"/>
    <col min="10" max="11" width="16" customWidth="1"/>
    <col min="12" max="12" width="13" customWidth="1"/>
    <col min="13" max="13" width="16" customWidth="1"/>
    <col min="14" max="14" width="14" customWidth="1"/>
    <col min="15" max="15" width="13" customWidth="1"/>
    <col min="16" max="16" width="14" customWidth="1"/>
    <col min="17" max="18" width="13" customWidth="1"/>
    <col min="19" max="19" width="14" customWidth="1"/>
    <col min="20" max="20" width="28" customWidth="1"/>
  </cols>
  <sheetData>
    <row r="1" spans="1:20" ht="27.95" customHeight="1">
      <c r="A1" s="139" t="s">
        <v>68</v>
      </c>
      <c r="B1" s="140" t="s">
        <v>68</v>
      </c>
      <c r="C1" s="140" t="s">
        <v>68</v>
      </c>
      <c r="D1" s="140" t="s">
        <v>68</v>
      </c>
      <c r="E1" s="140" t="s">
        <v>68</v>
      </c>
      <c r="F1" s="140" t="s">
        <v>68</v>
      </c>
      <c r="G1" s="140" t="s">
        <v>68</v>
      </c>
      <c r="H1" s="140" t="s">
        <v>68</v>
      </c>
      <c r="I1" s="140" t="s">
        <v>68</v>
      </c>
      <c r="J1" s="140" t="s">
        <v>68</v>
      </c>
      <c r="K1" s="140" t="s">
        <v>68</v>
      </c>
      <c r="L1" s="140" t="s">
        <v>68</v>
      </c>
      <c r="M1" s="140" t="s">
        <v>68</v>
      </c>
      <c r="N1" s="140" t="s">
        <v>68</v>
      </c>
      <c r="O1" s="140" t="s">
        <v>68</v>
      </c>
      <c r="P1" s="140" t="s">
        <v>68</v>
      </c>
      <c r="Q1" s="140" t="s">
        <v>68</v>
      </c>
      <c r="R1" s="140" t="s">
        <v>68</v>
      </c>
      <c r="S1" s="140" t="s">
        <v>68</v>
      </c>
      <c r="T1" s="141" t="s">
        <v>68</v>
      </c>
    </row>
    <row r="2" spans="1:20">
      <c r="A2" s="142" t="s">
        <v>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</row>
    <row r="4" spans="1:20" ht="42" customHeight="1">
      <c r="A4" s="83" t="s">
        <v>12</v>
      </c>
      <c r="B4" s="84" t="s">
        <v>70</v>
      </c>
      <c r="C4" s="84" t="s">
        <v>1</v>
      </c>
      <c r="D4" s="84" t="s">
        <v>71</v>
      </c>
      <c r="E4" s="84" t="s">
        <v>72</v>
      </c>
      <c r="F4" s="84" t="s">
        <v>73</v>
      </c>
      <c r="G4" s="84" t="s">
        <v>74</v>
      </c>
      <c r="H4" s="84" t="s">
        <v>75</v>
      </c>
      <c r="I4" s="84" t="s">
        <v>76</v>
      </c>
      <c r="J4" s="84" t="s">
        <v>77</v>
      </c>
      <c r="K4" s="84" t="s">
        <v>78</v>
      </c>
      <c r="L4" s="84" t="s">
        <v>79</v>
      </c>
      <c r="M4" s="84" t="s">
        <v>80</v>
      </c>
      <c r="N4" s="84" t="s">
        <v>81</v>
      </c>
      <c r="O4" s="84" t="s">
        <v>82</v>
      </c>
      <c r="P4" s="84" t="s">
        <v>83</v>
      </c>
      <c r="Q4" s="84" t="s">
        <v>84</v>
      </c>
      <c r="R4" s="84" t="s">
        <v>85</v>
      </c>
      <c r="S4" s="84" t="s">
        <v>86</v>
      </c>
      <c r="T4" s="85" t="s">
        <v>87</v>
      </c>
    </row>
    <row r="5" spans="1:20">
      <c r="A5" s="99">
        <v>1</v>
      </c>
      <c r="B5" s="100" t="s">
        <v>23</v>
      </c>
      <c r="C5" s="101">
        <v>120</v>
      </c>
      <c r="D5" s="102" t="s">
        <v>88</v>
      </c>
      <c r="E5" s="102" t="s">
        <v>25</v>
      </c>
      <c r="F5" s="102" t="s">
        <v>25</v>
      </c>
      <c r="G5" s="102"/>
      <c r="H5" s="102"/>
      <c r="I5" s="110" t="str">
        <f t="shared" ref="I5:I19" si="0">IF(OR(G5="",H5=""),"",ABS(G5-H5))</f>
        <v/>
      </c>
      <c r="J5" s="102"/>
      <c r="K5" s="102"/>
      <c r="L5" s="110" t="str">
        <f t="shared" ref="L5:L19" si="1">IF(OR(J5="",K5=""),"",ABS(J5-K5))</f>
        <v/>
      </c>
      <c r="M5" s="110" t="str">
        <f t="shared" ref="M5:M19" si="2">IF(OR(G5="",J5=""),"",ABS(J5-G5))</f>
        <v/>
      </c>
      <c r="N5" s="113">
        <f>'PX 120'!$H$5</f>
        <v>8.6132644272179162E-2</v>
      </c>
      <c r="O5" s="113">
        <f>'PX 120'!L5</f>
        <v>169</v>
      </c>
      <c r="P5" s="113" t="str">
        <f>IF(M5="","",M5*N5*'Parameter Uji 3'!$B$8*'Parameter Uji 3'!$B$9)</f>
        <v/>
      </c>
      <c r="Q5" s="113" t="str">
        <f t="shared" ref="Q5:Q19" si="3">IF(P5="","",ABS(P5-O5))</f>
        <v/>
      </c>
      <c r="R5" s="116" t="str">
        <f t="shared" ref="R5:R19" si="4">IF(OR(Q5="",O5=0),"",Q5/O5)</f>
        <v/>
      </c>
      <c r="S5" s="119"/>
      <c r="T5" s="122"/>
    </row>
    <row r="6" spans="1:20">
      <c r="A6" s="103">
        <v>2</v>
      </c>
      <c r="B6" s="67" t="s">
        <v>27</v>
      </c>
      <c r="C6" s="104">
        <v>120</v>
      </c>
      <c r="D6" s="105" t="s">
        <v>88</v>
      </c>
      <c r="E6" s="105" t="s">
        <v>25</v>
      </c>
      <c r="F6" s="105" t="s">
        <v>25</v>
      </c>
      <c r="G6" s="105"/>
      <c r="H6" s="105"/>
      <c r="I6" s="111" t="str">
        <f t="shared" si="0"/>
        <v/>
      </c>
      <c r="J6" s="105"/>
      <c r="K6" s="105"/>
      <c r="L6" s="111" t="str">
        <f t="shared" si="1"/>
        <v/>
      </c>
      <c r="M6" s="111" t="str">
        <f t="shared" si="2"/>
        <v/>
      </c>
      <c r="N6" s="114">
        <f>'PX 120'!$H$5</f>
        <v>8.6132644272179162E-2</v>
      </c>
      <c r="O6" s="114">
        <f>'PX 120'!L6</f>
        <v>160</v>
      </c>
      <c r="P6" s="114" t="str">
        <f>IF(M6="","",M6*N6*'Parameter Uji 3'!$B$8*'Parameter Uji 3'!$B$9)</f>
        <v/>
      </c>
      <c r="Q6" s="114" t="str">
        <f t="shared" si="3"/>
        <v/>
      </c>
      <c r="R6" s="117" t="str">
        <f t="shared" si="4"/>
        <v/>
      </c>
      <c r="S6" s="120"/>
      <c r="T6" s="123"/>
    </row>
    <row r="7" spans="1:20">
      <c r="A7" s="103">
        <v>3</v>
      </c>
      <c r="B7" s="67" t="s">
        <v>28</v>
      </c>
      <c r="C7" s="104">
        <v>120</v>
      </c>
      <c r="D7" s="105" t="s">
        <v>88</v>
      </c>
      <c r="E7" s="105" t="s">
        <v>25</v>
      </c>
      <c r="F7" s="105" t="s">
        <v>25</v>
      </c>
      <c r="G7" s="105"/>
      <c r="H7" s="105"/>
      <c r="I7" s="111" t="str">
        <f t="shared" si="0"/>
        <v/>
      </c>
      <c r="J7" s="105"/>
      <c r="K7" s="105"/>
      <c r="L7" s="111" t="str">
        <f t="shared" si="1"/>
        <v/>
      </c>
      <c r="M7" s="111" t="str">
        <f t="shared" si="2"/>
        <v/>
      </c>
      <c r="N7" s="114">
        <f>'PX 120'!$H$5</f>
        <v>8.6132644272179162E-2</v>
      </c>
      <c r="O7" s="114">
        <f>'PX 120'!L7</f>
        <v>168</v>
      </c>
      <c r="P7" s="114" t="str">
        <f>IF(M7="","",M7*N7*'Parameter Uji 3'!$B$8*'Parameter Uji 3'!$B$9)</f>
        <v/>
      </c>
      <c r="Q7" s="114" t="str">
        <f t="shared" si="3"/>
        <v/>
      </c>
      <c r="R7" s="117" t="str">
        <f t="shared" si="4"/>
        <v/>
      </c>
      <c r="S7" s="120"/>
      <c r="T7" s="123"/>
    </row>
    <row r="8" spans="1:20">
      <c r="A8" s="103">
        <v>4</v>
      </c>
      <c r="B8" s="67" t="s">
        <v>29</v>
      </c>
      <c r="C8" s="104">
        <v>120</v>
      </c>
      <c r="D8" s="105" t="s">
        <v>88</v>
      </c>
      <c r="E8" s="105" t="s">
        <v>25</v>
      </c>
      <c r="F8" s="105" t="s">
        <v>25</v>
      </c>
      <c r="G8" s="105"/>
      <c r="H8" s="105"/>
      <c r="I8" s="111" t="str">
        <f t="shared" si="0"/>
        <v/>
      </c>
      <c r="J8" s="105"/>
      <c r="K8" s="105"/>
      <c r="L8" s="111" t="str">
        <f t="shared" si="1"/>
        <v/>
      </c>
      <c r="M8" s="111" t="str">
        <f t="shared" si="2"/>
        <v/>
      </c>
      <c r="N8" s="114">
        <f>'PX 120'!$H$5</f>
        <v>8.6132644272179162E-2</v>
      </c>
      <c r="O8" s="114">
        <f>'PX 120'!L8</f>
        <v>153</v>
      </c>
      <c r="P8" s="114" t="str">
        <f>IF(M8="","",M8*N8*'Parameter Uji 3'!$B$8*'Parameter Uji 3'!$B$9)</f>
        <v/>
      </c>
      <c r="Q8" s="114" t="str">
        <f t="shared" si="3"/>
        <v/>
      </c>
      <c r="R8" s="117" t="str">
        <f t="shared" si="4"/>
        <v/>
      </c>
      <c r="S8" s="120"/>
      <c r="T8" s="123"/>
    </row>
    <row r="9" spans="1:20">
      <c r="A9" s="103">
        <v>5</v>
      </c>
      <c r="B9" s="67" t="s">
        <v>30</v>
      </c>
      <c r="C9" s="104">
        <v>120</v>
      </c>
      <c r="D9" s="105" t="s">
        <v>88</v>
      </c>
      <c r="E9" s="105" t="s">
        <v>25</v>
      </c>
      <c r="F9" s="105" t="s">
        <v>25</v>
      </c>
      <c r="G9" s="105"/>
      <c r="H9" s="105"/>
      <c r="I9" s="111" t="str">
        <f t="shared" si="0"/>
        <v/>
      </c>
      <c r="J9" s="105"/>
      <c r="K9" s="105"/>
      <c r="L9" s="111" t="str">
        <f t="shared" si="1"/>
        <v/>
      </c>
      <c r="M9" s="111" t="str">
        <f t="shared" si="2"/>
        <v/>
      </c>
      <c r="N9" s="114">
        <f>'PX 120'!$H$5</f>
        <v>8.6132644272179162E-2</v>
      </c>
      <c r="O9" s="114">
        <f>'PX 120'!L9</f>
        <v>164</v>
      </c>
      <c r="P9" s="114" t="str">
        <f>IF(M9="","",M9*N9*'Parameter Uji 3'!$B$8*'Parameter Uji 3'!$B$9)</f>
        <v/>
      </c>
      <c r="Q9" s="114" t="str">
        <f t="shared" si="3"/>
        <v/>
      </c>
      <c r="R9" s="117" t="str">
        <f t="shared" si="4"/>
        <v/>
      </c>
      <c r="S9" s="120"/>
      <c r="T9" s="123"/>
    </row>
    <row r="10" spans="1:20">
      <c r="A10" s="103">
        <v>6</v>
      </c>
      <c r="B10" s="67" t="s">
        <v>31</v>
      </c>
      <c r="C10" s="104">
        <v>120</v>
      </c>
      <c r="D10" s="105" t="s">
        <v>88</v>
      </c>
      <c r="E10" s="105" t="s">
        <v>25</v>
      </c>
      <c r="F10" s="105" t="s">
        <v>25</v>
      </c>
      <c r="G10" s="105"/>
      <c r="H10" s="105"/>
      <c r="I10" s="111" t="str">
        <f t="shared" si="0"/>
        <v/>
      </c>
      <c r="J10" s="105"/>
      <c r="K10" s="105"/>
      <c r="L10" s="111" t="str">
        <f t="shared" si="1"/>
        <v/>
      </c>
      <c r="M10" s="111" t="str">
        <f t="shared" si="2"/>
        <v/>
      </c>
      <c r="N10" s="114">
        <f>'PX 120'!$H$5</f>
        <v>8.6132644272179162E-2</v>
      </c>
      <c r="O10" s="114">
        <f>'PX 120'!L10</f>
        <v>167</v>
      </c>
      <c r="P10" s="114" t="str">
        <f>IF(M10="","",M10*N10*'Parameter Uji 3'!$B$8*'Parameter Uji 3'!$B$9)</f>
        <v/>
      </c>
      <c r="Q10" s="114" t="str">
        <f t="shared" si="3"/>
        <v/>
      </c>
      <c r="R10" s="117" t="str">
        <f t="shared" si="4"/>
        <v/>
      </c>
      <c r="S10" s="120"/>
      <c r="T10" s="123"/>
    </row>
    <row r="11" spans="1:20">
      <c r="A11" s="103">
        <v>7</v>
      </c>
      <c r="B11" s="67" t="s">
        <v>32</v>
      </c>
      <c r="C11" s="104">
        <v>120</v>
      </c>
      <c r="D11" s="105" t="s">
        <v>88</v>
      </c>
      <c r="E11" s="105" t="s">
        <v>25</v>
      </c>
      <c r="F11" s="105" t="s">
        <v>25</v>
      </c>
      <c r="G11" s="105"/>
      <c r="H11" s="105"/>
      <c r="I11" s="111" t="str">
        <f t="shared" si="0"/>
        <v/>
      </c>
      <c r="J11" s="105"/>
      <c r="K11" s="105"/>
      <c r="L11" s="111" t="str">
        <f t="shared" si="1"/>
        <v/>
      </c>
      <c r="M11" s="111" t="str">
        <f t="shared" si="2"/>
        <v/>
      </c>
      <c r="N11" s="114">
        <f>'PX 120'!$H$5</f>
        <v>8.6132644272179162E-2</v>
      </c>
      <c r="O11" s="114">
        <f>'PX 120'!L11</f>
        <v>157</v>
      </c>
      <c r="P11" s="114" t="str">
        <f>IF(M11="","",M11*N11*'Parameter Uji 3'!$B$8*'Parameter Uji 3'!$B$9)</f>
        <v/>
      </c>
      <c r="Q11" s="114" t="str">
        <f t="shared" si="3"/>
        <v/>
      </c>
      <c r="R11" s="117" t="str">
        <f t="shared" si="4"/>
        <v/>
      </c>
      <c r="S11" s="120"/>
      <c r="T11" s="123"/>
    </row>
    <row r="12" spans="1:20">
      <c r="A12" s="103">
        <v>8</v>
      </c>
      <c r="B12" s="67" t="s">
        <v>33</v>
      </c>
      <c r="C12" s="104">
        <v>120</v>
      </c>
      <c r="D12" s="105" t="s">
        <v>88</v>
      </c>
      <c r="E12" s="105" t="s">
        <v>25</v>
      </c>
      <c r="F12" s="105" t="s">
        <v>25</v>
      </c>
      <c r="G12" s="105"/>
      <c r="H12" s="105"/>
      <c r="I12" s="111" t="str">
        <f t="shared" si="0"/>
        <v/>
      </c>
      <c r="J12" s="105"/>
      <c r="K12" s="105"/>
      <c r="L12" s="111" t="str">
        <f t="shared" si="1"/>
        <v/>
      </c>
      <c r="M12" s="111" t="str">
        <f t="shared" si="2"/>
        <v/>
      </c>
      <c r="N12" s="114">
        <f>'PX 120'!$H$5</f>
        <v>8.6132644272179162E-2</v>
      </c>
      <c r="O12" s="114">
        <f>'PX 120'!L12</f>
        <v>152</v>
      </c>
      <c r="P12" s="114" t="str">
        <f>IF(M12="","",M12*N12*'Parameter Uji 3'!$B$8*'Parameter Uji 3'!$B$9)</f>
        <v/>
      </c>
      <c r="Q12" s="114" t="str">
        <f t="shared" si="3"/>
        <v/>
      </c>
      <c r="R12" s="117" t="str">
        <f t="shared" si="4"/>
        <v/>
      </c>
      <c r="S12" s="120"/>
      <c r="T12" s="123"/>
    </row>
    <row r="13" spans="1:20">
      <c r="A13" s="103">
        <v>9</v>
      </c>
      <c r="B13" s="67" t="s">
        <v>34</v>
      </c>
      <c r="C13" s="104">
        <v>120</v>
      </c>
      <c r="D13" s="105" t="s">
        <v>88</v>
      </c>
      <c r="E13" s="105" t="s">
        <v>25</v>
      </c>
      <c r="F13" s="105" t="s">
        <v>25</v>
      </c>
      <c r="G13" s="105"/>
      <c r="H13" s="105"/>
      <c r="I13" s="111" t="str">
        <f t="shared" si="0"/>
        <v/>
      </c>
      <c r="J13" s="105"/>
      <c r="K13" s="105"/>
      <c r="L13" s="111" t="str">
        <f t="shared" si="1"/>
        <v/>
      </c>
      <c r="M13" s="111" t="str">
        <f t="shared" si="2"/>
        <v/>
      </c>
      <c r="N13" s="114">
        <f>'PX 120'!$H$5</f>
        <v>8.6132644272179162E-2</v>
      </c>
      <c r="O13" s="114">
        <f>'PX 120'!L13</f>
        <v>166</v>
      </c>
      <c r="P13" s="114" t="str">
        <f>IF(M13="","",M13*N13*'Parameter Uji 3'!$B$8*'Parameter Uji 3'!$B$9)</f>
        <v/>
      </c>
      <c r="Q13" s="114" t="str">
        <f t="shared" si="3"/>
        <v/>
      </c>
      <c r="R13" s="117" t="str">
        <f t="shared" si="4"/>
        <v/>
      </c>
      <c r="S13" s="120"/>
      <c r="T13" s="123"/>
    </row>
    <row r="14" spans="1:20">
      <c r="A14" s="103">
        <v>10</v>
      </c>
      <c r="B14" s="67" t="s">
        <v>35</v>
      </c>
      <c r="C14" s="104">
        <v>120</v>
      </c>
      <c r="D14" s="105" t="s">
        <v>88</v>
      </c>
      <c r="E14" s="105" t="s">
        <v>25</v>
      </c>
      <c r="F14" s="105" t="s">
        <v>25</v>
      </c>
      <c r="G14" s="105"/>
      <c r="H14" s="105"/>
      <c r="I14" s="111" t="str">
        <f t="shared" si="0"/>
        <v/>
      </c>
      <c r="J14" s="105"/>
      <c r="K14" s="105"/>
      <c r="L14" s="111" t="str">
        <f t="shared" si="1"/>
        <v/>
      </c>
      <c r="M14" s="111" t="str">
        <f t="shared" si="2"/>
        <v/>
      </c>
      <c r="N14" s="114">
        <f>'PX 120'!$H$5</f>
        <v>8.6132644272179162E-2</v>
      </c>
      <c r="O14" s="114">
        <f>'PX 120'!L14</f>
        <v>165</v>
      </c>
      <c r="P14" s="114" t="str">
        <f>IF(M14="","",M14*N14*'Parameter Uji 3'!$B$8*'Parameter Uji 3'!$B$9)</f>
        <v/>
      </c>
      <c r="Q14" s="114" t="str">
        <f t="shared" si="3"/>
        <v/>
      </c>
      <c r="R14" s="117" t="str">
        <f t="shared" si="4"/>
        <v/>
      </c>
      <c r="S14" s="120"/>
      <c r="T14" s="123"/>
    </row>
    <row r="15" spans="1:20">
      <c r="A15" s="103">
        <v>11</v>
      </c>
      <c r="B15" s="67" t="s">
        <v>36</v>
      </c>
      <c r="C15" s="104">
        <v>120</v>
      </c>
      <c r="D15" s="105" t="s">
        <v>88</v>
      </c>
      <c r="E15" s="105" t="s">
        <v>25</v>
      </c>
      <c r="F15" s="105" t="s">
        <v>25</v>
      </c>
      <c r="G15" s="105"/>
      <c r="H15" s="105"/>
      <c r="I15" s="111" t="str">
        <f t="shared" si="0"/>
        <v/>
      </c>
      <c r="J15" s="105"/>
      <c r="K15" s="105"/>
      <c r="L15" s="111" t="str">
        <f t="shared" si="1"/>
        <v/>
      </c>
      <c r="M15" s="111" t="str">
        <f t="shared" si="2"/>
        <v/>
      </c>
      <c r="N15" s="114">
        <f>'PX 120'!$H$5</f>
        <v>8.6132644272179162E-2</v>
      </c>
      <c r="O15" s="114">
        <f>'PX 120'!L15</f>
        <v>166</v>
      </c>
      <c r="P15" s="114" t="str">
        <f>IF(M15="","",M15*N15*'Parameter Uji 3'!$B$8*'Parameter Uji 3'!$B$9)</f>
        <v/>
      </c>
      <c r="Q15" s="114" t="str">
        <f t="shared" si="3"/>
        <v/>
      </c>
      <c r="R15" s="117" t="str">
        <f t="shared" si="4"/>
        <v/>
      </c>
      <c r="S15" s="120"/>
      <c r="T15" s="123"/>
    </row>
    <row r="16" spans="1:20">
      <c r="A16" s="103">
        <v>12</v>
      </c>
      <c r="B16" s="67" t="s">
        <v>37</v>
      </c>
      <c r="C16" s="104">
        <v>120</v>
      </c>
      <c r="D16" s="105" t="s">
        <v>88</v>
      </c>
      <c r="E16" s="105" t="s">
        <v>25</v>
      </c>
      <c r="F16" s="105" t="s">
        <v>25</v>
      </c>
      <c r="G16" s="105"/>
      <c r="H16" s="105"/>
      <c r="I16" s="111" t="str">
        <f t="shared" si="0"/>
        <v/>
      </c>
      <c r="J16" s="105"/>
      <c r="K16" s="105"/>
      <c r="L16" s="111" t="str">
        <f t="shared" si="1"/>
        <v/>
      </c>
      <c r="M16" s="111" t="str">
        <f t="shared" si="2"/>
        <v/>
      </c>
      <c r="N16" s="114">
        <f>'PX 120'!$H$5</f>
        <v>8.6132644272179162E-2</v>
      </c>
      <c r="O16" s="114">
        <f>'PX 120'!L16</f>
        <v>162</v>
      </c>
      <c r="P16" s="114" t="str">
        <f>IF(M16="","",M16*N16*'Parameter Uji 3'!$B$8*'Parameter Uji 3'!$B$9)</f>
        <v/>
      </c>
      <c r="Q16" s="114" t="str">
        <f t="shared" si="3"/>
        <v/>
      </c>
      <c r="R16" s="117" t="str">
        <f t="shared" si="4"/>
        <v/>
      </c>
      <c r="S16" s="120"/>
      <c r="T16" s="123"/>
    </row>
    <row r="17" spans="1:20">
      <c r="A17" s="103">
        <v>13</v>
      </c>
      <c r="B17" s="67" t="s">
        <v>38</v>
      </c>
      <c r="C17" s="104">
        <v>120</v>
      </c>
      <c r="D17" s="105" t="s">
        <v>88</v>
      </c>
      <c r="E17" s="105" t="s">
        <v>25</v>
      </c>
      <c r="F17" s="105" t="s">
        <v>25</v>
      </c>
      <c r="G17" s="105"/>
      <c r="H17" s="105"/>
      <c r="I17" s="111" t="str">
        <f t="shared" si="0"/>
        <v/>
      </c>
      <c r="J17" s="105"/>
      <c r="K17" s="105"/>
      <c r="L17" s="111" t="str">
        <f t="shared" si="1"/>
        <v/>
      </c>
      <c r="M17" s="111" t="str">
        <f t="shared" si="2"/>
        <v/>
      </c>
      <c r="N17" s="114">
        <f>'PX 120'!$H$5</f>
        <v>8.6132644272179162E-2</v>
      </c>
      <c r="O17" s="114">
        <f>'PX 120'!L17</f>
        <v>164</v>
      </c>
      <c r="P17" s="114" t="str">
        <f>IF(M17="","",M17*N17*'Parameter Uji 3'!$B$8*'Parameter Uji 3'!$B$9)</f>
        <v/>
      </c>
      <c r="Q17" s="114" t="str">
        <f t="shared" si="3"/>
        <v/>
      </c>
      <c r="R17" s="117" t="str">
        <f t="shared" si="4"/>
        <v/>
      </c>
      <c r="S17" s="120"/>
      <c r="T17" s="123"/>
    </row>
    <row r="18" spans="1:20">
      <c r="A18" s="103">
        <v>14</v>
      </c>
      <c r="B18" s="67" t="s">
        <v>39</v>
      </c>
      <c r="C18" s="104">
        <v>120</v>
      </c>
      <c r="D18" s="105" t="s">
        <v>88</v>
      </c>
      <c r="E18" s="105" t="s">
        <v>25</v>
      </c>
      <c r="F18" s="105" t="s">
        <v>25</v>
      </c>
      <c r="G18" s="105"/>
      <c r="H18" s="105"/>
      <c r="I18" s="111" t="str">
        <f t="shared" si="0"/>
        <v/>
      </c>
      <c r="J18" s="105"/>
      <c r="K18" s="105"/>
      <c r="L18" s="111" t="str">
        <f t="shared" si="1"/>
        <v/>
      </c>
      <c r="M18" s="111" t="str">
        <f t="shared" si="2"/>
        <v/>
      </c>
      <c r="N18" s="114">
        <f>'PX 120'!$H$5</f>
        <v>8.6132644272179162E-2</v>
      </c>
      <c r="O18" s="114">
        <f>'PX 120'!L18</f>
        <v>161</v>
      </c>
      <c r="P18" s="114" t="str">
        <f>IF(M18="","",M18*N18*'Parameter Uji 3'!$B$8*'Parameter Uji 3'!$B$9)</f>
        <v/>
      </c>
      <c r="Q18" s="114" t="str">
        <f t="shared" si="3"/>
        <v/>
      </c>
      <c r="R18" s="117" t="str">
        <f t="shared" si="4"/>
        <v/>
      </c>
      <c r="S18" s="120"/>
      <c r="T18" s="123"/>
    </row>
    <row r="19" spans="1:20">
      <c r="A19" s="106">
        <v>15</v>
      </c>
      <c r="B19" s="107" t="s">
        <v>40</v>
      </c>
      <c r="C19" s="108">
        <v>120</v>
      </c>
      <c r="D19" s="109" t="s">
        <v>88</v>
      </c>
      <c r="E19" s="109" t="s">
        <v>25</v>
      </c>
      <c r="F19" s="109" t="s">
        <v>25</v>
      </c>
      <c r="G19" s="109"/>
      <c r="H19" s="109"/>
      <c r="I19" s="112" t="str">
        <f t="shared" si="0"/>
        <v/>
      </c>
      <c r="J19" s="109"/>
      <c r="K19" s="109"/>
      <c r="L19" s="112" t="str">
        <f t="shared" si="1"/>
        <v/>
      </c>
      <c r="M19" s="112" t="str">
        <f t="shared" si="2"/>
        <v/>
      </c>
      <c r="N19" s="115">
        <f>'PX 120'!$H$5</f>
        <v>8.6132644272179162E-2</v>
      </c>
      <c r="O19" s="115">
        <f>'PX 120'!L19</f>
        <v>175</v>
      </c>
      <c r="P19" s="115" t="str">
        <f>IF(M19="","",M19*N19*'Parameter Uji 3'!$B$8*'Parameter Uji 3'!$B$9)</f>
        <v/>
      </c>
      <c r="Q19" s="115" t="str">
        <f t="shared" si="3"/>
        <v/>
      </c>
      <c r="R19" s="118" t="str">
        <f t="shared" si="4"/>
        <v/>
      </c>
      <c r="S19" s="121"/>
      <c r="T19" s="124"/>
    </row>
  </sheetData>
  <mergeCells count="2">
    <mergeCell ref="A1:T1"/>
    <mergeCell ref="A2:T2"/>
  </mergeCells>
  <conditionalFormatting sqref="Q5:Q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2">
    <dataValidation type="list" sqref="D5:D19" xr:uid="{00000000-0002-0000-0500-000000000000}">
      <formula1>"Tegak,Tidak Tegak"</formula1>
    </dataValidation>
    <dataValidation type="list" sqref="E5:F19" xr:uid="{00000000-0002-0000-0500-000001000000}">
      <formula1>"Ya,Tidak"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/>
  </sheetViews>
  <sheetFormatPr defaultRowHeight="14.25"/>
  <cols>
    <col min="1" max="1" width="31" customWidth="1"/>
    <col min="2" max="2" width="16" customWidth="1"/>
    <col min="3" max="3" width="13" customWidth="1"/>
    <col min="4" max="4" width="46" customWidth="1"/>
  </cols>
  <sheetData>
    <row r="1" spans="1:4" ht="27.95" customHeight="1">
      <c r="A1" s="139" t="s">
        <v>89</v>
      </c>
      <c r="B1" s="140" t="s">
        <v>89</v>
      </c>
      <c r="C1" s="140" t="s">
        <v>89</v>
      </c>
      <c r="D1" s="141" t="s">
        <v>89</v>
      </c>
    </row>
    <row r="3" spans="1:4" ht="42" customHeight="1">
      <c r="A3" s="83" t="s">
        <v>90</v>
      </c>
      <c r="B3" s="84" t="s">
        <v>45</v>
      </c>
      <c r="C3" s="84" t="s">
        <v>46</v>
      </c>
      <c r="D3" s="85" t="s">
        <v>91</v>
      </c>
    </row>
    <row r="4" spans="1:4" ht="15">
      <c r="A4" s="86" t="s">
        <v>92</v>
      </c>
      <c r="B4" s="125">
        <f>'Parameter Uji 3'!B4</f>
        <v>120</v>
      </c>
      <c r="C4" s="88" t="s">
        <v>49</v>
      </c>
      <c r="D4" s="89" t="s">
        <v>93</v>
      </c>
    </row>
    <row r="5" spans="1:4" ht="15">
      <c r="A5" s="90" t="s">
        <v>2</v>
      </c>
      <c r="B5" s="126">
        <f>COUNTA('Pengujian Ketiga'!B5:B19)</f>
        <v>15</v>
      </c>
      <c r="C5" s="92" t="s">
        <v>94</v>
      </c>
      <c r="D5" s="93" t="s">
        <v>95</v>
      </c>
    </row>
    <row r="6" spans="1:4" ht="15">
      <c r="A6" s="90" t="s">
        <v>96</v>
      </c>
      <c r="B6" s="126">
        <f>COUNT('Pengujian Ketiga'!P5:P19)</f>
        <v>0</v>
      </c>
      <c r="C6" s="92" t="s">
        <v>94</v>
      </c>
      <c r="D6" s="93" t="s">
        <v>97</v>
      </c>
    </row>
    <row r="7" spans="1:4" ht="15">
      <c r="A7" s="90" t="s">
        <v>98</v>
      </c>
      <c r="B7" s="126" t="str">
        <f>IF(COUNT('Pengujian Ketiga'!I5:I19)=0,"",AVERAGE('Pengujian Ketiga'!I5:I19))</f>
        <v/>
      </c>
      <c r="C7" s="92" t="s">
        <v>99</v>
      </c>
      <c r="D7" s="93" t="s">
        <v>100</v>
      </c>
    </row>
    <row r="8" spans="1:4" ht="15">
      <c r="A8" s="90" t="s">
        <v>101</v>
      </c>
      <c r="B8" s="126" t="str">
        <f>IF(COUNT('Pengujian Ketiga'!L5:L19)=0,"",AVERAGE('Pengujian Ketiga'!L5:L19))</f>
        <v/>
      </c>
      <c r="C8" s="92" t="s">
        <v>99</v>
      </c>
      <c r="D8" s="93" t="s">
        <v>100</v>
      </c>
    </row>
    <row r="9" spans="1:4" ht="15">
      <c r="A9" s="90" t="s">
        <v>102</v>
      </c>
      <c r="B9" s="126" t="str">
        <f>IF(COUNT('Pengujian Ketiga'!Q5:Q19)=0,"",AVERAGE('Pengujian Ketiga'!Q5:Q19))</f>
        <v/>
      </c>
      <c r="C9" s="92" t="s">
        <v>55</v>
      </c>
      <c r="D9" s="93" t="s">
        <v>103</v>
      </c>
    </row>
    <row r="10" spans="1:4" ht="15">
      <c r="A10" s="90" t="s">
        <v>104</v>
      </c>
      <c r="B10" s="127" t="str">
        <f>IF(COUNT('Pengujian Ketiga'!R5:R19)=0,"",AVERAGE('Pengujian Ketiga'!R5:R19))</f>
        <v/>
      </c>
      <c r="C10" s="92" t="s">
        <v>105</v>
      </c>
      <c r="D10" s="93" t="s">
        <v>106</v>
      </c>
    </row>
    <row r="11" spans="1:4" ht="15">
      <c r="A11" s="90" t="s">
        <v>107</v>
      </c>
      <c r="B11" s="126" t="str">
        <f>IF(COUNT('Pengujian Ketiga'!Q5:Q19)=0,"",MAX('Pengujian Ketiga'!Q5:Q19))</f>
        <v/>
      </c>
      <c r="C11" s="92" t="s">
        <v>55</v>
      </c>
      <c r="D11" s="93" t="s">
        <v>108</v>
      </c>
    </row>
    <row r="12" spans="1:4" ht="15">
      <c r="A12" s="95" t="s">
        <v>109</v>
      </c>
      <c r="B12" s="128" t="str">
        <f>IF(COUNT('Pengujian Ketiga'!S5:S19)=0,"",AVERAGE('Pengujian Ketiga'!S5:S19))</f>
        <v/>
      </c>
      <c r="C12" s="97" t="s">
        <v>110</v>
      </c>
      <c r="D12" s="98" t="s">
        <v>111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"/>
  <sheetViews>
    <sheetView workbookViewId="0"/>
  </sheetViews>
  <sheetFormatPr defaultRowHeight="14.25"/>
  <cols>
    <col min="1" max="1" width="9" customWidth="1"/>
    <col min="2" max="2" width="48" customWidth="1"/>
    <col min="3" max="3" width="38" customWidth="1"/>
    <col min="4" max="4" width="44" customWidth="1"/>
  </cols>
  <sheetData>
    <row r="1" spans="1:4" ht="27.95" customHeight="1">
      <c r="A1" s="139" t="s">
        <v>112</v>
      </c>
      <c r="B1" s="140" t="s">
        <v>112</v>
      </c>
      <c r="C1" s="140" t="s">
        <v>112</v>
      </c>
      <c r="D1" s="141" t="s">
        <v>112</v>
      </c>
    </row>
    <row r="3" spans="1:4" ht="42" customHeight="1">
      <c r="A3" s="83" t="s">
        <v>113</v>
      </c>
      <c r="B3" s="84" t="s">
        <v>114</v>
      </c>
      <c r="C3" s="84" t="s">
        <v>115</v>
      </c>
      <c r="D3" s="85" t="s">
        <v>116</v>
      </c>
    </row>
    <row r="4" spans="1:4" ht="28.5">
      <c r="A4" s="129">
        <v>1</v>
      </c>
      <c r="B4" s="88" t="s">
        <v>117</v>
      </c>
      <c r="C4" s="88" t="s">
        <v>118</v>
      </c>
      <c r="D4" s="89" t="s">
        <v>119</v>
      </c>
    </row>
    <row r="5" spans="1:4" ht="28.5">
      <c r="A5" s="130">
        <v>2</v>
      </c>
      <c r="B5" s="92" t="s">
        <v>120</v>
      </c>
      <c r="C5" s="92" t="s">
        <v>121</v>
      </c>
      <c r="D5" s="93" t="s">
        <v>122</v>
      </c>
    </row>
    <row r="6" spans="1:4" ht="28.5">
      <c r="A6" s="130">
        <v>3</v>
      </c>
      <c r="B6" s="92" t="s">
        <v>123</v>
      </c>
      <c r="C6" s="92" t="s">
        <v>124</v>
      </c>
      <c r="D6" s="93" t="s">
        <v>125</v>
      </c>
    </row>
    <row r="7" spans="1:4" ht="28.5">
      <c r="A7" s="130">
        <v>4</v>
      </c>
      <c r="B7" s="92" t="s">
        <v>126</v>
      </c>
      <c r="C7" s="92" t="s">
        <v>127</v>
      </c>
      <c r="D7" s="93" t="s">
        <v>128</v>
      </c>
    </row>
    <row r="8" spans="1:4">
      <c r="A8" s="130">
        <v>5</v>
      </c>
      <c r="B8" s="92" t="s">
        <v>129</v>
      </c>
      <c r="C8" s="92" t="s">
        <v>130</v>
      </c>
      <c r="D8" s="93" t="s">
        <v>131</v>
      </c>
    </row>
    <row r="9" spans="1:4" ht="28.5">
      <c r="A9" s="131">
        <v>6</v>
      </c>
      <c r="B9" s="97" t="s">
        <v>132</v>
      </c>
      <c r="C9" s="97" t="s">
        <v>133</v>
      </c>
      <c r="D9" s="98" t="s">
        <v>134</v>
      </c>
    </row>
    <row r="10" spans="1:4">
      <c r="A10" s="132"/>
      <c r="B10" s="132"/>
      <c r="C10" s="132"/>
      <c r="D10" s="132"/>
    </row>
    <row r="11" spans="1:4" ht="42" customHeight="1">
      <c r="A11" s="83" t="s">
        <v>12</v>
      </c>
      <c r="B11" s="84" t="s">
        <v>135</v>
      </c>
      <c r="C11" s="84" t="s">
        <v>136</v>
      </c>
      <c r="D11" s="85" t="s">
        <v>137</v>
      </c>
    </row>
    <row r="12" spans="1:4">
      <c r="A12" s="133">
        <v>1</v>
      </c>
      <c r="B12" s="88" t="s">
        <v>138</v>
      </c>
      <c r="C12" s="88" t="s">
        <v>139</v>
      </c>
      <c r="D12" s="89" t="s">
        <v>140</v>
      </c>
    </row>
    <row r="13" spans="1:4" ht="28.5">
      <c r="A13" s="134">
        <v>2</v>
      </c>
      <c r="B13" s="92" t="s">
        <v>141</v>
      </c>
      <c r="C13" s="92" t="s">
        <v>142</v>
      </c>
      <c r="D13" s="93" t="s">
        <v>143</v>
      </c>
    </row>
    <row r="14" spans="1:4" ht="28.5">
      <c r="A14" s="134">
        <v>3</v>
      </c>
      <c r="B14" s="92" t="s">
        <v>144</v>
      </c>
      <c r="C14" s="92" t="s">
        <v>145</v>
      </c>
      <c r="D14" s="93" t="s">
        <v>146</v>
      </c>
    </row>
    <row r="15" spans="1:4" ht="28.5">
      <c r="A15" s="134">
        <v>4</v>
      </c>
      <c r="B15" s="92" t="s">
        <v>147</v>
      </c>
      <c r="C15" s="92" t="s">
        <v>148</v>
      </c>
      <c r="D15" s="93" t="s">
        <v>149</v>
      </c>
    </row>
    <row r="16" spans="1:4">
      <c r="A16" s="134">
        <v>5</v>
      </c>
      <c r="B16" s="92" t="s">
        <v>150</v>
      </c>
      <c r="C16" s="92" t="s">
        <v>151</v>
      </c>
      <c r="D16" s="93" t="s">
        <v>152</v>
      </c>
    </row>
    <row r="17" spans="1:4" ht="28.5">
      <c r="A17" s="134">
        <v>6</v>
      </c>
      <c r="B17" s="92" t="s">
        <v>153</v>
      </c>
      <c r="C17" s="92" t="s">
        <v>154</v>
      </c>
      <c r="D17" s="93" t="s">
        <v>155</v>
      </c>
    </row>
    <row r="18" spans="1:4">
      <c r="A18" s="134">
        <v>7</v>
      </c>
      <c r="B18" s="92" t="s">
        <v>156</v>
      </c>
      <c r="C18" s="92" t="s">
        <v>157</v>
      </c>
      <c r="D18" s="93" t="s">
        <v>158</v>
      </c>
    </row>
    <row r="19" spans="1:4" ht="28.5">
      <c r="A19" s="135">
        <v>8</v>
      </c>
      <c r="B19" s="97" t="s">
        <v>159</v>
      </c>
      <c r="C19" s="97" t="s">
        <v>160</v>
      </c>
      <c r="D19" s="98" t="s">
        <v>161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PX 100</vt:lpstr>
      <vt:lpstr>PX 120</vt:lpstr>
      <vt:lpstr>PX 150</vt:lpstr>
      <vt:lpstr>Parameter Uji 3</vt:lpstr>
      <vt:lpstr>Pengujian Ketiga</vt:lpstr>
      <vt:lpstr>Ringkasan Uji 3</vt:lpstr>
      <vt:lpstr>Petunjuk &amp; Kekurangan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khayla fitriani</cp:lastModifiedBy>
  <dcterms:modified xsi:type="dcterms:W3CDTF">2026-07-12T03:09:34Z</dcterms:modified>
</cp:coreProperties>
</file>